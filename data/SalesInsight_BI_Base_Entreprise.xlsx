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5" activeTab="9"/>
  </bookViews>
  <sheets>
    <sheet name="README_Projet" sheetId="1" r:id="rId1"/>
    <sheet name="Clients" sheetId="2" r:id="rId2"/>
    <sheet name="Produits" sheetId="3" r:id="rId3"/>
    <sheet name="Employes" sheetId="4" r:id="rId4"/>
    <sheet name="Feuille13" sheetId="13" state="hidden" r:id="rId5"/>
    <sheet name="Commandes" sheetId="5" r:id="rId6"/>
    <sheet name="Lignes_Commandes" sheetId="6" r:id="rId7"/>
    <sheet name="Dictionnaire" sheetId="7" r:id="rId8"/>
    <sheet name="Dashboard_Base" sheetId="8" state="hidden" r:id="rId9"/>
    <sheet name="KPI_Analyse" sheetId="9" r:id="rId10"/>
    <sheet name="Analyse_Ventes" sheetId="10" state="hidden" r:id="rId11"/>
    <sheet name="Dashboard_Final" sheetId="14" state="hidden" r:id="rId12"/>
  </sheets>
  <calcPr calcId="191029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<sst xmlns="http://schemas.openxmlformats.org/spreadsheetml/2006/main" count="10032" uniqueCount="1989">
  <si>
    <t>SalesInsight BI - Base de données entreprise</t>
  </si>
  <si>
    <t/>
  </si>
  <si>
    <t>Objectif</t>
  </si>
  <si>
    <t>Créer un projet autonome pour préparer le Master 1 IDA MIAGE : SQL, modélisation, BI, Python, Power BI et Machine Learning.</t>
  </si>
  <si>
    <t>Étape 1</t>
  </si>
  <si>
    <t>Comprendre les tables : Clients, Produits, Employes, Commandes, Lignes_Commandes.</t>
  </si>
  <si>
    <t>Étape 2</t>
  </si>
  <si>
    <t>Importer les feuilles dans PostgreSQL/MySQL ou Power BI.</t>
  </si>
  <si>
    <t>Étape 3</t>
  </si>
  <si>
    <t>Créer un modèle relationnel : Commandes.ID_Client -&gt; Clients.ID_Client ; Lignes_Commandes.ID_Commande -&gt; Commandes.ID_Commande ; Lignes_Commandes.ID_Produit -&gt; Produits.ID_Produit.</t>
  </si>
  <si>
    <t>Étape 4</t>
  </si>
  <si>
    <t>Faire des requêtes SQL : chiffre d’affaires par mois, top produits, clients fidèles, CA par canal.</t>
  </si>
  <si>
    <t>Étape 5</t>
  </si>
  <si>
    <t>Créer un tableau de bord Power BI avec KPI, courbes mensuelles, top produits, carte par ville/pays.</t>
  </si>
  <si>
    <t>Étape 6</t>
  </si>
  <si>
    <t>Ajouter un mini modèle ML en Python : prévoir le CA mensuel ou segmenter les clients.</t>
  </si>
  <si>
    <t>Attention</t>
  </si>
  <si>
    <t>Toutes les données sont fictives et générées automatiquement pour l’entraînement.</t>
  </si>
  <si>
    <t>ID_Client</t>
  </si>
  <si>
    <t>Nom</t>
  </si>
  <si>
    <t>Prénom</t>
  </si>
  <si>
    <t>Email</t>
  </si>
  <si>
    <t>Ville</t>
  </si>
  <si>
    <t>Région</t>
  </si>
  <si>
    <t>Pays</t>
  </si>
  <si>
    <t>Segment</t>
  </si>
  <si>
    <t>Date_Inscription</t>
  </si>
  <si>
    <t>Canal_Acquisition</t>
  </si>
  <si>
    <t>Actif</t>
  </si>
  <si>
    <t>C0001</t>
  </si>
  <si>
    <t>Thomas</t>
  </si>
  <si>
    <t>Linh</t>
  </si>
  <si>
    <t>linh.thomas1@example.com</t>
  </si>
  <si>
    <t>Toulouse</t>
  </si>
  <si>
    <t>Occitanie</t>
  </si>
  <si>
    <t>France</t>
  </si>
  <si>
    <t>PME</t>
  </si>
  <si>
    <t>Réseaux sociaux</t>
  </si>
  <si>
    <t>Oui</t>
  </si>
  <si>
    <t>C0002</t>
  </si>
  <si>
    <t>Tran</t>
  </si>
  <si>
    <t>Hugo</t>
  </si>
  <si>
    <t>hugo.tran2@example.com</t>
  </si>
  <si>
    <t>Genève</t>
  </si>
  <si>
    <t>Suisse</t>
  </si>
  <si>
    <t>Salon professionnel</t>
  </si>
  <si>
    <t>C0003</t>
  </si>
  <si>
    <t>Dubois</t>
  </si>
  <si>
    <t>Emma</t>
  </si>
  <si>
    <t>emma.dubois3@example.com</t>
  </si>
  <si>
    <t>Bordeaux</t>
  </si>
  <si>
    <t>Nouvelle-Aquitaine</t>
  </si>
  <si>
    <t>Particulier</t>
  </si>
  <si>
    <t>SEO</t>
  </si>
  <si>
    <t>C0004</t>
  </si>
  <si>
    <t>Nguyen</t>
  </si>
  <si>
    <t>Tú</t>
  </si>
  <si>
    <t>tú.nguyen4@example.com</t>
  </si>
  <si>
    <t>Parrainage</t>
  </si>
  <si>
    <t>C0005</t>
  </si>
  <si>
    <t>Martin</t>
  </si>
  <si>
    <t>Bao</t>
  </si>
  <si>
    <t>bao.martin5@example.com</t>
  </si>
  <si>
    <t>Lyon</t>
  </si>
  <si>
    <t>Auvergne-Rhône-Alpes</t>
  </si>
  <si>
    <t>Publicité</t>
  </si>
  <si>
    <t>C0006</t>
  </si>
  <si>
    <t>Simon</t>
  </si>
  <si>
    <t>Anh</t>
  </si>
  <si>
    <t>anh.simon6@example.com</t>
  </si>
  <si>
    <t>Paris</t>
  </si>
  <si>
    <t>Île-de-France</t>
  </si>
  <si>
    <t>C0007</t>
  </si>
  <si>
    <t>Leroy</t>
  </si>
  <si>
    <t>Noah</t>
  </si>
  <si>
    <t>noah.leroy7@example.com</t>
  </si>
  <si>
    <t>Non</t>
  </si>
  <si>
    <t>C0008</t>
  </si>
  <si>
    <t>Sarah</t>
  </si>
  <si>
    <t>sarah.dubois8@example.com</t>
  </si>
  <si>
    <t>Nice</t>
  </si>
  <si>
    <t>Provence-Alpes-Côte d’Azur</t>
  </si>
  <si>
    <t>C0009</t>
  </si>
  <si>
    <t>Vincent</t>
  </si>
  <si>
    <t>Gabriel</t>
  </si>
  <si>
    <t>gabriel.vincent9@example.com</t>
  </si>
  <si>
    <t>C0010</t>
  </si>
  <si>
    <t>Durand</t>
  </si>
  <si>
    <t>Léa</t>
  </si>
  <si>
    <t>léa.durand10@example.com</t>
  </si>
  <si>
    <t>C0011</t>
  </si>
  <si>
    <t>Petit</t>
  </si>
  <si>
    <t>gabriel.petit11@example.com</t>
  </si>
  <si>
    <t>Bruxelles</t>
  </si>
  <si>
    <t>Belgique</t>
  </si>
  <si>
    <t>C0012</t>
  </si>
  <si>
    <t>Roux</t>
  </si>
  <si>
    <t>Nathan</t>
  </si>
  <si>
    <t>nathan.roux12@example.com</t>
  </si>
  <si>
    <t>C0013</t>
  </si>
  <si>
    <t>Quang</t>
  </si>
  <si>
    <t>quang.nguyen13@example.com</t>
  </si>
  <si>
    <t>C0014</t>
  </si>
  <si>
    <t>Bernard</t>
  </si>
  <si>
    <t>anh.bernard14@example.com</t>
  </si>
  <si>
    <t>C0015</t>
  </si>
  <si>
    <t>Manon</t>
  </si>
  <si>
    <t>manon.vincent15@example.com</t>
  </si>
  <si>
    <t>C0016</t>
  </si>
  <si>
    <t>quang.nguyen16@example.com</t>
  </si>
  <si>
    <t>Montpellier</t>
  </si>
  <si>
    <t>C0017</t>
  </si>
  <si>
    <t>Tom</t>
  </si>
  <si>
    <t>tom.leroy17@example.com</t>
  </si>
  <si>
    <t>C0018</t>
  </si>
  <si>
    <t>Bertrand</t>
  </si>
  <si>
    <t>Chloé</t>
  </si>
  <si>
    <t>chloé.bertrand18@example.com</t>
  </si>
  <si>
    <t>C0019</t>
  </si>
  <si>
    <t>Dang</t>
  </si>
  <si>
    <t>nathan.dang19@example.com</t>
  </si>
  <si>
    <t>C0020</t>
  </si>
  <si>
    <t>Zoé</t>
  </si>
  <si>
    <t>zoé.bertrand20@example.com</t>
  </si>
  <si>
    <t>Nantes</t>
  </si>
  <si>
    <t>Pays de la Loire</t>
  </si>
  <si>
    <t>Grand Compte</t>
  </si>
  <si>
    <t>C0021</t>
  </si>
  <si>
    <t>Vo</t>
  </si>
  <si>
    <t>tom.vo21@example.com</t>
  </si>
  <si>
    <t>C0022</t>
  </si>
  <si>
    <t>Garcia</t>
  </si>
  <si>
    <t>nathan.garcia22@example.com</t>
  </si>
  <si>
    <t>C0023</t>
  </si>
  <si>
    <t>Anna</t>
  </si>
  <si>
    <t>anna.thomas23@example.com</t>
  </si>
  <si>
    <t>C0024</t>
  </si>
  <si>
    <t>Laurent</t>
  </si>
  <si>
    <t>chloé.laurent24@example.com</t>
  </si>
  <si>
    <t>C0025</t>
  </si>
  <si>
    <t>Raphaël</t>
  </si>
  <si>
    <t>raphaël.martin25@example.com</t>
  </si>
  <si>
    <t>C0026</t>
  </si>
  <si>
    <t>Trang</t>
  </si>
  <si>
    <t>trang.vincent26@example.com</t>
  </si>
  <si>
    <t>C0027</t>
  </si>
  <si>
    <t>tom.vo27@example.com</t>
  </si>
  <si>
    <t>C0028</t>
  </si>
  <si>
    <t>Fournier</t>
  </si>
  <si>
    <t>anna.fournier28@example.com</t>
  </si>
  <si>
    <t>Lille</t>
  </si>
  <si>
    <t>Hauts-de-France</t>
  </si>
  <si>
    <t>C0029</t>
  </si>
  <si>
    <t>sarah.tran29@example.com</t>
  </si>
  <si>
    <t>C0030</t>
  </si>
  <si>
    <t>Louis</t>
  </si>
  <si>
    <t>louis.dubois30@example.com</t>
  </si>
  <si>
    <t>Marseille</t>
  </si>
  <si>
    <t>C0031</t>
  </si>
  <si>
    <t>emma.dubois31@example.com</t>
  </si>
  <si>
    <t>C0032</t>
  </si>
  <si>
    <t>Long</t>
  </si>
  <si>
    <t>long.simon32@example.com</t>
  </si>
  <si>
    <t>C0033</t>
  </si>
  <si>
    <t>Le</t>
  </si>
  <si>
    <t>chloé.le33@example.com</t>
  </si>
  <si>
    <t>Rennes</t>
  </si>
  <si>
    <t>Bretagne</t>
  </si>
  <si>
    <t>C0034</t>
  </si>
  <si>
    <t>manon.thomas34@example.com</t>
  </si>
  <si>
    <t>C0035</t>
  </si>
  <si>
    <t>long.le35@example.com</t>
  </si>
  <si>
    <t>C0036</t>
  </si>
  <si>
    <t>Mai</t>
  </si>
  <si>
    <t>mai.simon36@example.com</t>
  </si>
  <si>
    <t>C0037</t>
  </si>
  <si>
    <t>Richard</t>
  </si>
  <si>
    <t>Arthur</t>
  </si>
  <si>
    <t>arthur.richard37@example.com</t>
  </si>
  <si>
    <t>C0038</t>
  </si>
  <si>
    <t>long.roux38@example.com</t>
  </si>
  <si>
    <t>C0039</t>
  </si>
  <si>
    <t>quang.vo39@example.com</t>
  </si>
  <si>
    <t>C0040</t>
  </si>
  <si>
    <t>sarah.bernard40@example.com</t>
  </si>
  <si>
    <t>C0041</t>
  </si>
  <si>
    <t>bao.garcia41@example.com</t>
  </si>
  <si>
    <t>C0042</t>
  </si>
  <si>
    <t>Jules</t>
  </si>
  <si>
    <t>jules.petit42@example.com</t>
  </si>
  <si>
    <t>C0043</t>
  </si>
  <si>
    <t>Lucas</t>
  </si>
  <si>
    <t>lucas.bernard43@example.com</t>
  </si>
  <si>
    <t>C0044</t>
  </si>
  <si>
    <t>anna.dubois44@example.com</t>
  </si>
  <si>
    <t>C0045</t>
  </si>
  <si>
    <t>trang.vincent45@example.com</t>
  </si>
  <si>
    <t>C0046</t>
  </si>
  <si>
    <t>Minh</t>
  </si>
  <si>
    <t>minh.vincent46@example.com</t>
  </si>
  <si>
    <t>C0047</t>
  </si>
  <si>
    <t>Inès</t>
  </si>
  <si>
    <t>inès.durand47@example.com</t>
  </si>
  <si>
    <t>C0048</t>
  </si>
  <si>
    <t>quang.vo48@example.com</t>
  </si>
  <si>
    <t>C0049</t>
  </si>
  <si>
    <t>léa.roux49@example.com</t>
  </si>
  <si>
    <t>C0050</t>
  </si>
  <si>
    <t>trang.durand50@example.com</t>
  </si>
  <si>
    <t>C0051</t>
  </si>
  <si>
    <t>noah.dang51@example.com</t>
  </si>
  <si>
    <t>C0052</t>
  </si>
  <si>
    <t>minh.thomas52@example.com</t>
  </si>
  <si>
    <t>C0053</t>
  </si>
  <si>
    <t>jules.fournier53@example.com</t>
  </si>
  <si>
    <t>C0054</t>
  </si>
  <si>
    <t>Camille</t>
  </si>
  <si>
    <t>camille.bernard54@example.com</t>
  </si>
  <si>
    <t>C0055</t>
  </si>
  <si>
    <t>Robert</t>
  </si>
  <si>
    <t>anh.robert55@example.com</t>
  </si>
  <si>
    <t>C0056</t>
  </si>
  <si>
    <t>arthur.roux56@example.com</t>
  </si>
  <si>
    <t>C0057</t>
  </si>
  <si>
    <t>Hoa</t>
  </si>
  <si>
    <t>hoa.laurent57@example.com</t>
  </si>
  <si>
    <t>C0058</t>
  </si>
  <si>
    <t>gabriel.dang58@example.com</t>
  </si>
  <si>
    <t>C0059</t>
  </si>
  <si>
    <t>gabriel.vo59@example.com</t>
  </si>
  <si>
    <t>C0060</t>
  </si>
  <si>
    <t>quang.durand60@example.com</t>
  </si>
  <si>
    <t>C0061</t>
  </si>
  <si>
    <t>mai.simon61@example.com</t>
  </si>
  <si>
    <t>C0062</t>
  </si>
  <si>
    <t>tú.thomas62@example.com</t>
  </si>
  <si>
    <t>C0063</t>
  </si>
  <si>
    <t>quang.garcia63@example.com</t>
  </si>
  <si>
    <t>C0064</t>
  </si>
  <si>
    <t>Lefebvre</t>
  </si>
  <si>
    <t>manon.lefebvre64@example.com</t>
  </si>
  <si>
    <t>C0065</t>
  </si>
  <si>
    <t>anna.lefebvre65@example.com</t>
  </si>
  <si>
    <t>C0066</t>
  </si>
  <si>
    <t>hugo.leroy66@example.com</t>
  </si>
  <si>
    <t>C0067</t>
  </si>
  <si>
    <t>arthur.laurent67@example.com</t>
  </si>
  <si>
    <t>C0068</t>
  </si>
  <si>
    <t>hugo.lefebvre68@example.com</t>
  </si>
  <si>
    <t>C0069</t>
  </si>
  <si>
    <t>quang.dang69@example.com</t>
  </si>
  <si>
    <t>C0070</t>
  </si>
  <si>
    <t>léa.tran70@example.com</t>
  </si>
  <si>
    <t>C0071</t>
  </si>
  <si>
    <t>jules.bertrand71@example.com</t>
  </si>
  <si>
    <t>C0072</t>
  </si>
  <si>
    <t>tom.robert72@example.com</t>
  </si>
  <si>
    <t>C0073</t>
  </si>
  <si>
    <t>jules.lefebvre73@example.com</t>
  </si>
  <si>
    <t>C0074</t>
  </si>
  <si>
    <t>bao.vincent74@example.com</t>
  </si>
  <si>
    <t>C0075</t>
  </si>
  <si>
    <t>manon.bertrand75@example.com</t>
  </si>
  <si>
    <t>C0076</t>
  </si>
  <si>
    <t>minh.nguyen76@example.com</t>
  </si>
  <si>
    <t>C0077</t>
  </si>
  <si>
    <t>manon.robert77@example.com</t>
  </si>
  <si>
    <t>C0078</t>
  </si>
  <si>
    <t>léa.garcia78@example.com</t>
  </si>
  <si>
    <t>C0079</t>
  </si>
  <si>
    <t>David</t>
  </si>
  <si>
    <t>sarah.david79@example.com</t>
  </si>
  <si>
    <t>C0080</t>
  </si>
  <si>
    <t>long.vo80@example.com</t>
  </si>
  <si>
    <t>C0081</t>
  </si>
  <si>
    <t>tú.bertrand81@example.com</t>
  </si>
  <si>
    <t>C0082</t>
  </si>
  <si>
    <t>bao.garcia82@example.com</t>
  </si>
  <si>
    <t>C0083</t>
  </si>
  <si>
    <t>anh.garcia83@example.com</t>
  </si>
  <si>
    <t>C0084</t>
  </si>
  <si>
    <t>tom.garcia84@example.com</t>
  </si>
  <si>
    <t>C0085</t>
  </si>
  <si>
    <t>louis.nguyen85@example.com</t>
  </si>
  <si>
    <t>C0086</t>
  </si>
  <si>
    <t>camille.garcia86@example.com</t>
  </si>
  <si>
    <t>C0087</t>
  </si>
  <si>
    <t>trang.roux87@example.com</t>
  </si>
  <si>
    <t>C0088</t>
  </si>
  <si>
    <t>tú.petit88@example.com</t>
  </si>
  <si>
    <t>C0089</t>
  </si>
  <si>
    <t>lucas.petit89@example.com</t>
  </si>
  <si>
    <t>C0090</t>
  </si>
  <si>
    <t>anh.vincent90@example.com</t>
  </si>
  <si>
    <t>C0091</t>
  </si>
  <si>
    <t>Michel</t>
  </si>
  <si>
    <t>long.michel91@example.com</t>
  </si>
  <si>
    <t>C0092</t>
  </si>
  <si>
    <t>raphaël.durand92@example.com</t>
  </si>
  <si>
    <t>C0093</t>
  </si>
  <si>
    <t>minh.dang93@example.com</t>
  </si>
  <si>
    <t>C0094</t>
  </si>
  <si>
    <t>tom.martin94@example.com</t>
  </si>
  <si>
    <t>C0095</t>
  </si>
  <si>
    <t>arthur.robert95@example.com</t>
  </si>
  <si>
    <t>C0096</t>
  </si>
  <si>
    <t>zoé.simon96@example.com</t>
  </si>
  <si>
    <t>C0097</t>
  </si>
  <si>
    <t>hoa.michel97@example.com</t>
  </si>
  <si>
    <t>C0098</t>
  </si>
  <si>
    <t>lucas.laurent98@example.com</t>
  </si>
  <si>
    <t>C0099</t>
  </si>
  <si>
    <t>louis.petit99@example.com</t>
  </si>
  <si>
    <t>C0100</t>
  </si>
  <si>
    <t>hugo.vincent100@example.com</t>
  </si>
  <si>
    <t>C0101</t>
  </si>
  <si>
    <t>noah.le101@example.com</t>
  </si>
  <si>
    <t>C0102</t>
  </si>
  <si>
    <t>Moreau</t>
  </si>
  <si>
    <t>emma.moreau102@example.com</t>
  </si>
  <si>
    <t>C0103</t>
  </si>
  <si>
    <t>manon.dubois103@example.com</t>
  </si>
  <si>
    <t>C0104</t>
  </si>
  <si>
    <t>anh.moreau104@example.com</t>
  </si>
  <si>
    <t>C0105</t>
  </si>
  <si>
    <t>gabriel.roux105@example.com</t>
  </si>
  <si>
    <t>C0106</t>
  </si>
  <si>
    <t>emma.michel106@example.com</t>
  </si>
  <si>
    <t>C0107</t>
  </si>
  <si>
    <t>arthur.richard107@example.com</t>
  </si>
  <si>
    <t>C0108</t>
  </si>
  <si>
    <t>quang.roux108@example.com</t>
  </si>
  <si>
    <t>C0109</t>
  </si>
  <si>
    <t>louis.dubois109@example.com</t>
  </si>
  <si>
    <t>C0110</t>
  </si>
  <si>
    <t>minh.lefebvre110@example.com</t>
  </si>
  <si>
    <t>C0111</t>
  </si>
  <si>
    <t>gabriel.dang111@example.com</t>
  </si>
  <si>
    <t>C0112</t>
  </si>
  <si>
    <t>anna.petit112@example.com</t>
  </si>
  <si>
    <t>C0113</t>
  </si>
  <si>
    <t>Pham</t>
  </si>
  <si>
    <t>louis.pham113@example.com</t>
  </si>
  <si>
    <t>C0114</t>
  </si>
  <si>
    <t>léa.moreau114@example.com</t>
  </si>
  <si>
    <t>C0115</t>
  </si>
  <si>
    <t>gabriel.david115@example.com</t>
  </si>
  <si>
    <t>C0116</t>
  </si>
  <si>
    <t>tú.garcia116@example.com</t>
  </si>
  <si>
    <t>C0117</t>
  </si>
  <si>
    <t>inès.thomas117@example.com</t>
  </si>
  <si>
    <t>C0118</t>
  </si>
  <si>
    <t>mai.david118@example.com</t>
  </si>
  <si>
    <t>C0119</t>
  </si>
  <si>
    <t>hugo.petit119@example.com</t>
  </si>
  <si>
    <t>C0120</t>
  </si>
  <si>
    <t>tom.robert120@example.com</t>
  </si>
  <si>
    <t>ID_Produit</t>
  </si>
  <si>
    <t>Nom_Produit</t>
  </si>
  <si>
    <t>Catégorie</t>
  </si>
  <si>
    <t>Marque</t>
  </si>
  <si>
    <t>Prix_Unitaire_HT</t>
  </si>
  <si>
    <t>Coût_Achat_HT</t>
  </si>
  <si>
    <t>Marge_Unitaire_HT</t>
  </si>
  <si>
    <t>Stock</t>
  </si>
  <si>
    <t>Statut_Produit</t>
  </si>
  <si>
    <t>P0001</t>
  </si>
  <si>
    <t>Laptop Pro 14</t>
  </si>
  <si>
    <t>Informatique</t>
  </si>
  <si>
    <t>GreenOffice</t>
  </si>
  <si>
    <t>P0002</t>
  </si>
  <si>
    <t>Laptop Pro 14 V2</t>
  </si>
  <si>
    <t>P0003</t>
  </si>
  <si>
    <t>Écran 27 pouces</t>
  </si>
  <si>
    <t>P0004</t>
  </si>
  <si>
    <t>Écran 27 pouces V2</t>
  </si>
  <si>
    <t>NovaTech</t>
  </si>
  <si>
    <t>P0005</t>
  </si>
  <si>
    <t>Clavier mécanique</t>
  </si>
  <si>
    <t>DataPlus</t>
  </si>
  <si>
    <t>P0006</t>
  </si>
  <si>
    <t>Clavier mécanique V2</t>
  </si>
  <si>
    <t>ProServices</t>
  </si>
  <si>
    <t>P0007</t>
  </si>
  <si>
    <t>Souris ergonomique</t>
  </si>
  <si>
    <t>MiageLab</t>
  </si>
  <si>
    <t>Fin de série</t>
  </si>
  <si>
    <t>P0008</t>
  </si>
  <si>
    <t>Souris ergonomique V2</t>
  </si>
  <si>
    <t>P0009</t>
  </si>
  <si>
    <t>Station d'accueil USB-C</t>
  </si>
  <si>
    <t>P0010</t>
  </si>
  <si>
    <t>Station d'accueil USB-C V2</t>
  </si>
  <si>
    <t>P0011</t>
  </si>
  <si>
    <t>Chaise ergonomique</t>
  </si>
  <si>
    <t>Bureau</t>
  </si>
  <si>
    <t>P0012</t>
  </si>
  <si>
    <t>Chaise ergonomique V2</t>
  </si>
  <si>
    <t>P0013</t>
  </si>
  <si>
    <t>Bureau réglable</t>
  </si>
  <si>
    <t>P0014</t>
  </si>
  <si>
    <t>Bureau réglable V2</t>
  </si>
  <si>
    <t>P0015</t>
  </si>
  <si>
    <t>Lampe LED</t>
  </si>
  <si>
    <t>P0016</t>
  </si>
  <si>
    <t>Lampe LED V2</t>
  </si>
  <si>
    <t>P0017</t>
  </si>
  <si>
    <t>Organiseur bureau</t>
  </si>
  <si>
    <t>P0018</t>
  </si>
  <si>
    <t>Organiseur bureau V2</t>
  </si>
  <si>
    <t>P0019</t>
  </si>
  <si>
    <t>Caisson mobile</t>
  </si>
  <si>
    <t>P0020</t>
  </si>
  <si>
    <t>Caisson mobile V2</t>
  </si>
  <si>
    <t>P0021</t>
  </si>
  <si>
    <t>Licence CRM</t>
  </si>
  <si>
    <t>Logiciel</t>
  </si>
  <si>
    <t>P0022</t>
  </si>
  <si>
    <t>Licence CRM V2</t>
  </si>
  <si>
    <t>P0023</t>
  </si>
  <si>
    <t>Licence BI</t>
  </si>
  <si>
    <t>P0024</t>
  </si>
  <si>
    <t>Licence BI V2</t>
  </si>
  <si>
    <t>P0025</t>
  </si>
  <si>
    <t>Abonnement Cloud</t>
  </si>
  <si>
    <t>P0026</t>
  </si>
  <si>
    <t>Abonnement Cloud V2</t>
  </si>
  <si>
    <t>P0027</t>
  </si>
  <si>
    <t>Antivirus Pro</t>
  </si>
  <si>
    <t>P0028</t>
  </si>
  <si>
    <t>Antivirus Pro V2</t>
  </si>
  <si>
    <t>P0029</t>
  </si>
  <si>
    <t>Outil gestion projet</t>
  </si>
  <si>
    <t>P0030</t>
  </si>
  <si>
    <t>Outil gestion projet V2</t>
  </si>
  <si>
    <t>P0031</t>
  </si>
  <si>
    <t>Formation Excel</t>
  </si>
  <si>
    <t>Formation</t>
  </si>
  <si>
    <t>P0032</t>
  </si>
  <si>
    <t>Formation Excel V2</t>
  </si>
  <si>
    <t>P0033</t>
  </si>
  <si>
    <t>Formation Python</t>
  </si>
  <si>
    <t>P0034</t>
  </si>
  <si>
    <t>Formation Python V2</t>
  </si>
  <si>
    <t>P0035</t>
  </si>
  <si>
    <t>Formation Power BI</t>
  </si>
  <si>
    <t>P0036</t>
  </si>
  <si>
    <t>Formation Power BI V2</t>
  </si>
  <si>
    <t>P0037</t>
  </si>
  <si>
    <t>Coaching Data</t>
  </si>
  <si>
    <t>P0038</t>
  </si>
  <si>
    <t>Coaching Data V2</t>
  </si>
  <si>
    <t>P0039</t>
  </si>
  <si>
    <t>Atelier SQL</t>
  </si>
  <si>
    <t>P0040</t>
  </si>
  <si>
    <t>Atelier SQL V2</t>
  </si>
  <si>
    <t>P0041</t>
  </si>
  <si>
    <t>Casque audio</t>
  </si>
  <si>
    <t>Accessoires</t>
  </si>
  <si>
    <t>P0042</t>
  </si>
  <si>
    <t>Casque audio V2</t>
  </si>
  <si>
    <t>P0043</t>
  </si>
  <si>
    <t>Webcam HD</t>
  </si>
  <si>
    <t>P0044</t>
  </si>
  <si>
    <t>Webcam HD V2</t>
  </si>
  <si>
    <t>P0045</t>
  </si>
  <si>
    <t>Sac ordinateur</t>
  </si>
  <si>
    <t>P0046</t>
  </si>
  <si>
    <t>Sac ordinateur V2</t>
  </si>
  <si>
    <t>P0047</t>
  </si>
  <si>
    <t>Chargeur USB-C</t>
  </si>
  <si>
    <t>P0048</t>
  </si>
  <si>
    <t>Chargeur USB-C V2</t>
  </si>
  <si>
    <t>P0049</t>
  </si>
  <si>
    <t>Hub HDMI</t>
  </si>
  <si>
    <t>P0050</t>
  </si>
  <si>
    <t>Hub HDMI V2</t>
  </si>
  <si>
    <t>ID_Employe</t>
  </si>
  <si>
    <t>Rôle</t>
  </si>
  <si>
    <t>Agence</t>
  </si>
  <si>
    <t>Date_Embauche</t>
  </si>
  <si>
    <t>Objectif_CA_Mensuel_HT</t>
  </si>
  <si>
    <t>E001</t>
  </si>
  <si>
    <t>Commercial</t>
  </si>
  <si>
    <t>E002</t>
  </si>
  <si>
    <t>Responsable compte</t>
  </si>
  <si>
    <t>E003</t>
  </si>
  <si>
    <t>Conseiller client</t>
  </si>
  <si>
    <t>E004</t>
  </si>
  <si>
    <t>E005</t>
  </si>
  <si>
    <t>Business Developer</t>
  </si>
  <si>
    <t>E006</t>
  </si>
  <si>
    <t>E007</t>
  </si>
  <si>
    <t>E008</t>
  </si>
  <si>
    <t>E009</t>
  </si>
  <si>
    <t>E010</t>
  </si>
  <si>
    <t>Canal_Vente</t>
  </si>
  <si>
    <t>Somme de Total_HT</t>
  </si>
  <si>
    <t>Magasin</t>
  </si>
  <si>
    <t>Marketplace</t>
  </si>
  <si>
    <t>Téléphone</t>
  </si>
  <si>
    <t>Web</t>
  </si>
  <si>
    <t>Total général</t>
  </si>
  <si>
    <t>Mois</t>
  </si>
  <si>
    <t>09-2025</t>
  </si>
  <si>
    <t>05-2025</t>
  </si>
  <si>
    <t>Somme de Somme de Total_HT</t>
  </si>
  <si>
    <t>01-2025</t>
  </si>
  <si>
    <t>06-2024</t>
  </si>
  <si>
    <t>10-2025</t>
  </si>
  <si>
    <t>02-2024</t>
  </si>
  <si>
    <t>11-2024</t>
  </si>
  <si>
    <t>12-2024</t>
  </si>
  <si>
    <t>04-2025</t>
  </si>
  <si>
    <t>03-2025</t>
  </si>
  <si>
    <t>05-2024</t>
  </si>
  <si>
    <t>07-2025</t>
  </si>
  <si>
    <t>01-2024</t>
  </si>
  <si>
    <t>08-2025</t>
  </si>
  <si>
    <t>12-2025</t>
  </si>
  <si>
    <t>07-2024</t>
  </si>
  <si>
    <t>11-2025</t>
  </si>
  <si>
    <t>03-2024</t>
  </si>
  <si>
    <t>10-2024</t>
  </si>
  <si>
    <t>06-2025</t>
  </si>
  <si>
    <t>08-2024</t>
  </si>
  <si>
    <t>09-2024</t>
  </si>
  <si>
    <t>02-2025</t>
  </si>
  <si>
    <t>04-2024</t>
  </si>
  <si>
    <t>ID_Commande</t>
  </si>
  <si>
    <t>Date_Commande</t>
  </si>
  <si>
    <t>Statut_Commande</t>
  </si>
  <si>
    <t>Mode_Paiement</t>
  </si>
  <si>
    <t>Frais_Livraison_HT</t>
  </si>
  <si>
    <t>Total_HT</t>
  </si>
  <si>
    <t>Total_TTC</t>
  </si>
  <si>
    <t>CMD00001</t>
  </si>
  <si>
    <t>Livrée</t>
  </si>
  <si>
    <t>Virement</t>
  </si>
  <si>
    <t>CMD00002</t>
  </si>
  <si>
    <t>PayPal</t>
  </si>
  <si>
    <t>CMD00003</t>
  </si>
  <si>
    <t>Annulée</t>
  </si>
  <si>
    <t>CMD00004</t>
  </si>
  <si>
    <t>CMD00005</t>
  </si>
  <si>
    <t>Carte bancaire</t>
  </si>
  <si>
    <t>CMD00006</t>
  </si>
  <si>
    <t>En cours</t>
  </si>
  <si>
    <t>CMD00007</t>
  </si>
  <si>
    <t>CMD00008</t>
  </si>
  <si>
    <t>Retournée</t>
  </si>
  <si>
    <t>CMD00009</t>
  </si>
  <si>
    <t>CMD00010</t>
  </si>
  <si>
    <t>CMD00011</t>
  </si>
  <si>
    <t>CMD00012</t>
  </si>
  <si>
    <t>CMD00013</t>
  </si>
  <si>
    <t>CMD00014</t>
  </si>
  <si>
    <t>Prélèvement</t>
  </si>
  <si>
    <t>CMD00015</t>
  </si>
  <si>
    <t>CMD00016</t>
  </si>
  <si>
    <t>CMD00017</t>
  </si>
  <si>
    <t>CMD00018</t>
  </si>
  <si>
    <t>CMD00019</t>
  </si>
  <si>
    <t>CMD00020</t>
  </si>
  <si>
    <t>CMD00021</t>
  </si>
  <si>
    <t>CMD00022</t>
  </si>
  <si>
    <t>CMD00023</t>
  </si>
  <si>
    <t>CMD00024</t>
  </si>
  <si>
    <t>CMD00025</t>
  </si>
  <si>
    <t>CMD00026</t>
  </si>
  <si>
    <t>CMD00027</t>
  </si>
  <si>
    <t>CMD00028</t>
  </si>
  <si>
    <t>CMD00029</t>
  </si>
  <si>
    <t>CMD00030</t>
  </si>
  <si>
    <t>CMD00031</t>
  </si>
  <si>
    <t>CMD00032</t>
  </si>
  <si>
    <t>CMD00033</t>
  </si>
  <si>
    <t>CMD00034</t>
  </si>
  <si>
    <t>CMD00035</t>
  </si>
  <si>
    <t>CMD00036</t>
  </si>
  <si>
    <t>CMD00037</t>
  </si>
  <si>
    <t>CMD00038</t>
  </si>
  <si>
    <t>CMD00039</t>
  </si>
  <si>
    <t>CMD00040</t>
  </si>
  <si>
    <t>CMD00041</t>
  </si>
  <si>
    <t>CMD00042</t>
  </si>
  <si>
    <t>CMD00043</t>
  </si>
  <si>
    <t>CMD00044</t>
  </si>
  <si>
    <t>CMD00045</t>
  </si>
  <si>
    <t>CMD00046</t>
  </si>
  <si>
    <t>CMD00047</t>
  </si>
  <si>
    <t>CMD00048</t>
  </si>
  <si>
    <t>CMD00049</t>
  </si>
  <si>
    <t>CMD00050</t>
  </si>
  <si>
    <t>CMD00051</t>
  </si>
  <si>
    <t>CMD00052</t>
  </si>
  <si>
    <t>CMD00053</t>
  </si>
  <si>
    <t>CMD00054</t>
  </si>
  <si>
    <t>CMD00055</t>
  </si>
  <si>
    <t>CMD00056</t>
  </si>
  <si>
    <t>CMD00057</t>
  </si>
  <si>
    <t>CMD00058</t>
  </si>
  <si>
    <t>CMD00059</t>
  </si>
  <si>
    <t>CMD00060</t>
  </si>
  <si>
    <t>CMD00061</t>
  </si>
  <si>
    <t>CMD00062</t>
  </si>
  <si>
    <t>CMD00063</t>
  </si>
  <si>
    <t>CMD00064</t>
  </si>
  <si>
    <t>CMD00065</t>
  </si>
  <si>
    <t>CMD00066</t>
  </si>
  <si>
    <t>CMD00067</t>
  </si>
  <si>
    <t>CMD00068</t>
  </si>
  <si>
    <t>CMD00069</t>
  </si>
  <si>
    <t>CMD00070</t>
  </si>
  <si>
    <t>CMD00071</t>
  </si>
  <si>
    <t>CMD00072</t>
  </si>
  <si>
    <t>CMD00073</t>
  </si>
  <si>
    <t>CMD00074</t>
  </si>
  <si>
    <t>CMD00075</t>
  </si>
  <si>
    <t>CMD00076</t>
  </si>
  <si>
    <t>CMD00077</t>
  </si>
  <si>
    <t>CMD00078</t>
  </si>
  <si>
    <t>CMD00079</t>
  </si>
  <si>
    <t>CMD00080</t>
  </si>
  <si>
    <t>CMD00081</t>
  </si>
  <si>
    <t>CMD00082</t>
  </si>
  <si>
    <t>CMD00083</t>
  </si>
  <si>
    <t>CMD00084</t>
  </si>
  <si>
    <t>CMD00085</t>
  </si>
  <si>
    <t>CMD00086</t>
  </si>
  <si>
    <t>CMD00087</t>
  </si>
  <si>
    <t>CMD00088</t>
  </si>
  <si>
    <t>CMD00089</t>
  </si>
  <si>
    <t>CMD00090</t>
  </si>
  <si>
    <t>CMD00091</t>
  </si>
  <si>
    <t>CMD00092</t>
  </si>
  <si>
    <t>CMD00093</t>
  </si>
  <si>
    <t>CMD00094</t>
  </si>
  <si>
    <t>CMD00095</t>
  </si>
  <si>
    <t>CMD00096</t>
  </si>
  <si>
    <t>CMD00097</t>
  </si>
  <si>
    <t>CMD00098</t>
  </si>
  <si>
    <t>CMD00099</t>
  </si>
  <si>
    <t>CMD00100</t>
  </si>
  <si>
    <t>CMD00101</t>
  </si>
  <si>
    <t>CMD00102</t>
  </si>
  <si>
    <t>CMD00103</t>
  </si>
  <si>
    <t>CMD00104</t>
  </si>
  <si>
    <t>CMD00105</t>
  </si>
  <si>
    <t>CMD00106</t>
  </si>
  <si>
    <t>CMD00107</t>
  </si>
  <si>
    <t>CMD00108</t>
  </si>
  <si>
    <t>CMD00109</t>
  </si>
  <si>
    <t>CMD00110</t>
  </si>
  <si>
    <t>CMD00111</t>
  </si>
  <si>
    <t>CMD00112</t>
  </si>
  <si>
    <t>CMD00113</t>
  </si>
  <si>
    <t>CMD00114</t>
  </si>
  <si>
    <t>CMD00115</t>
  </si>
  <si>
    <t>CMD00116</t>
  </si>
  <si>
    <t>CMD00117</t>
  </si>
  <si>
    <t>CMD00118</t>
  </si>
  <si>
    <t>CMD00119</t>
  </si>
  <si>
    <t>CMD00120</t>
  </si>
  <si>
    <t>CMD00121</t>
  </si>
  <si>
    <t>CMD00122</t>
  </si>
  <si>
    <t>CMD00123</t>
  </si>
  <si>
    <t>CMD00124</t>
  </si>
  <si>
    <t>CMD00125</t>
  </si>
  <si>
    <t>CMD00126</t>
  </si>
  <si>
    <t>CMD00127</t>
  </si>
  <si>
    <t>CMD00128</t>
  </si>
  <si>
    <t>CMD00129</t>
  </si>
  <si>
    <t>CMD00130</t>
  </si>
  <si>
    <t>CMD00131</t>
  </si>
  <si>
    <t>CMD00132</t>
  </si>
  <si>
    <t>CMD00133</t>
  </si>
  <si>
    <t>CMD00134</t>
  </si>
  <si>
    <t>CMD00135</t>
  </si>
  <si>
    <t>CMD00136</t>
  </si>
  <si>
    <t>CMD00137</t>
  </si>
  <si>
    <t>CMD00138</t>
  </si>
  <si>
    <t>CMD00139</t>
  </si>
  <si>
    <t>CMD00140</t>
  </si>
  <si>
    <t>CMD00141</t>
  </si>
  <si>
    <t>CMD00142</t>
  </si>
  <si>
    <t>CMD00143</t>
  </si>
  <si>
    <t>CMD00144</t>
  </si>
  <si>
    <t>CMD00145</t>
  </si>
  <si>
    <t>CMD00146</t>
  </si>
  <si>
    <t>CMD00147</t>
  </si>
  <si>
    <t>CMD00148</t>
  </si>
  <si>
    <t>CMD00149</t>
  </si>
  <si>
    <t>CMD00150</t>
  </si>
  <si>
    <t>CMD00151</t>
  </si>
  <si>
    <t>CMD00152</t>
  </si>
  <si>
    <t>CMD00153</t>
  </si>
  <si>
    <t>CMD00154</t>
  </si>
  <si>
    <t>CMD00155</t>
  </si>
  <si>
    <t>CMD00156</t>
  </si>
  <si>
    <t>CMD00157</t>
  </si>
  <si>
    <t>CMD00158</t>
  </si>
  <si>
    <t>CMD00159</t>
  </si>
  <si>
    <t>CMD00160</t>
  </si>
  <si>
    <t>CMD00161</t>
  </si>
  <si>
    <t>CMD00162</t>
  </si>
  <si>
    <t>CMD00163</t>
  </si>
  <si>
    <t>CMD00164</t>
  </si>
  <si>
    <t>CMD00165</t>
  </si>
  <si>
    <t>CMD00166</t>
  </si>
  <si>
    <t>CMD00167</t>
  </si>
  <si>
    <t>CMD00168</t>
  </si>
  <si>
    <t>CMD00169</t>
  </si>
  <si>
    <t>CMD00170</t>
  </si>
  <si>
    <t>CMD00171</t>
  </si>
  <si>
    <t>CMD00172</t>
  </si>
  <si>
    <t>CMD00173</t>
  </si>
  <si>
    <t>CMD00174</t>
  </si>
  <si>
    <t>CMD00175</t>
  </si>
  <si>
    <t>CMD00176</t>
  </si>
  <si>
    <t>CMD00177</t>
  </si>
  <si>
    <t>CMD00178</t>
  </si>
  <si>
    <t>CMD00179</t>
  </si>
  <si>
    <t>CMD00180</t>
  </si>
  <si>
    <t>CMD00181</t>
  </si>
  <si>
    <t>CMD00182</t>
  </si>
  <si>
    <t>CMD00183</t>
  </si>
  <si>
    <t>CMD00184</t>
  </si>
  <si>
    <t>CMD00185</t>
  </si>
  <si>
    <t>CMD00186</t>
  </si>
  <si>
    <t>CMD00187</t>
  </si>
  <si>
    <t>CMD00188</t>
  </si>
  <si>
    <t>CMD00189</t>
  </si>
  <si>
    <t>CMD00190</t>
  </si>
  <si>
    <t>CMD00191</t>
  </si>
  <si>
    <t>CMD00192</t>
  </si>
  <si>
    <t>CMD00193</t>
  </si>
  <si>
    <t>CMD00194</t>
  </si>
  <si>
    <t>CMD00195</t>
  </si>
  <si>
    <t>CMD00196</t>
  </si>
  <si>
    <t>CMD00197</t>
  </si>
  <si>
    <t>CMD00198</t>
  </si>
  <si>
    <t>CMD00199</t>
  </si>
  <si>
    <t>CMD00200</t>
  </si>
  <si>
    <t>CMD00201</t>
  </si>
  <si>
    <t>CMD00202</t>
  </si>
  <si>
    <t>CMD00203</t>
  </si>
  <si>
    <t>CMD00204</t>
  </si>
  <si>
    <t>CMD00205</t>
  </si>
  <si>
    <t>CMD00206</t>
  </si>
  <si>
    <t>CMD00207</t>
  </si>
  <si>
    <t>CMD00208</t>
  </si>
  <si>
    <t>CMD00209</t>
  </si>
  <si>
    <t>CMD00210</t>
  </si>
  <si>
    <t>CMD00211</t>
  </si>
  <si>
    <t>CMD00212</t>
  </si>
  <si>
    <t>CMD00213</t>
  </si>
  <si>
    <t>CMD00214</t>
  </si>
  <si>
    <t>CMD00215</t>
  </si>
  <si>
    <t>CMD00216</t>
  </si>
  <si>
    <t>CMD00217</t>
  </si>
  <si>
    <t>CMD00218</t>
  </si>
  <si>
    <t>CMD00219</t>
  </si>
  <si>
    <t>CMD00220</t>
  </si>
  <si>
    <t>CMD00221</t>
  </si>
  <si>
    <t>CMD00222</t>
  </si>
  <si>
    <t>CMD00223</t>
  </si>
  <si>
    <t>CMD00224</t>
  </si>
  <si>
    <t>CMD00225</t>
  </si>
  <si>
    <t>CMD00226</t>
  </si>
  <si>
    <t>CMD00227</t>
  </si>
  <si>
    <t>CMD00228</t>
  </si>
  <si>
    <t>CMD00229</t>
  </si>
  <si>
    <t>CMD00230</t>
  </si>
  <si>
    <t>CMD00231</t>
  </si>
  <si>
    <t>CMD00232</t>
  </si>
  <si>
    <t>CMD00233</t>
  </si>
  <si>
    <t>CMD00234</t>
  </si>
  <si>
    <t>CMD00235</t>
  </si>
  <si>
    <t>CMD00236</t>
  </si>
  <si>
    <t>CMD00237</t>
  </si>
  <si>
    <t>CMD00238</t>
  </si>
  <si>
    <t>CMD00239</t>
  </si>
  <si>
    <t>CMD00240</t>
  </si>
  <si>
    <t>CMD00241</t>
  </si>
  <si>
    <t>CMD00242</t>
  </si>
  <si>
    <t>CMD00243</t>
  </si>
  <si>
    <t>CMD00244</t>
  </si>
  <si>
    <t>CMD00245</t>
  </si>
  <si>
    <t>CMD00246</t>
  </si>
  <si>
    <t>CMD00247</t>
  </si>
  <si>
    <t>CMD00248</t>
  </si>
  <si>
    <t>CMD00249</t>
  </si>
  <si>
    <t>CMD00250</t>
  </si>
  <si>
    <t>CMD00251</t>
  </si>
  <si>
    <t>CMD00252</t>
  </si>
  <si>
    <t>CMD00253</t>
  </si>
  <si>
    <t>CMD00254</t>
  </si>
  <si>
    <t>CMD00255</t>
  </si>
  <si>
    <t>CMD00256</t>
  </si>
  <si>
    <t>CMD00257</t>
  </si>
  <si>
    <t>CMD00258</t>
  </si>
  <si>
    <t>CMD00259</t>
  </si>
  <si>
    <t>CMD00260</t>
  </si>
  <si>
    <t>CMD00261</t>
  </si>
  <si>
    <t>CMD00262</t>
  </si>
  <si>
    <t>CMD00263</t>
  </si>
  <si>
    <t>CMD00264</t>
  </si>
  <si>
    <t>CMD00265</t>
  </si>
  <si>
    <t>CMD00266</t>
  </si>
  <si>
    <t>CMD00267</t>
  </si>
  <si>
    <t>CMD00268</t>
  </si>
  <si>
    <t>CMD00269</t>
  </si>
  <si>
    <t>CMD00270</t>
  </si>
  <si>
    <t>CMD00271</t>
  </si>
  <si>
    <t>CMD00272</t>
  </si>
  <si>
    <t>CMD00273</t>
  </si>
  <si>
    <t>CMD00274</t>
  </si>
  <si>
    <t>CMD00275</t>
  </si>
  <si>
    <t>CMD00276</t>
  </si>
  <si>
    <t>CMD00277</t>
  </si>
  <si>
    <t>CMD00278</t>
  </si>
  <si>
    <t>CMD00279</t>
  </si>
  <si>
    <t>CMD00280</t>
  </si>
  <si>
    <t>CMD00281</t>
  </si>
  <si>
    <t>CMD00282</t>
  </si>
  <si>
    <t>CMD00283</t>
  </si>
  <si>
    <t>CMD00284</t>
  </si>
  <si>
    <t>CMD00285</t>
  </si>
  <si>
    <t>CMD00286</t>
  </si>
  <si>
    <t>CMD00287</t>
  </si>
  <si>
    <t>CMD00288</t>
  </si>
  <si>
    <t>CMD00289</t>
  </si>
  <si>
    <t>CMD00290</t>
  </si>
  <si>
    <t>CMD00291</t>
  </si>
  <si>
    <t>CMD00292</t>
  </si>
  <si>
    <t>CMD00293</t>
  </si>
  <si>
    <t>CMD00294</t>
  </si>
  <si>
    <t>CMD00295</t>
  </si>
  <si>
    <t>CMD00296</t>
  </si>
  <si>
    <t>CMD00297</t>
  </si>
  <si>
    <t>CMD00298</t>
  </si>
  <si>
    <t>CMD00299</t>
  </si>
  <si>
    <t>CMD00300</t>
  </si>
  <si>
    <t>CMD00301</t>
  </si>
  <si>
    <t>CMD00302</t>
  </si>
  <si>
    <t>CMD00303</t>
  </si>
  <si>
    <t>CMD00304</t>
  </si>
  <si>
    <t>CMD00305</t>
  </si>
  <si>
    <t>CMD00306</t>
  </si>
  <si>
    <t>CMD00307</t>
  </si>
  <si>
    <t>CMD00308</t>
  </si>
  <si>
    <t>CMD00309</t>
  </si>
  <si>
    <t>CMD00310</t>
  </si>
  <si>
    <t>CMD00311</t>
  </si>
  <si>
    <t>CMD00312</t>
  </si>
  <si>
    <t>CMD00313</t>
  </si>
  <si>
    <t>CMD00314</t>
  </si>
  <si>
    <t>CMD00315</t>
  </si>
  <si>
    <t>CMD00316</t>
  </si>
  <si>
    <t>CMD00317</t>
  </si>
  <si>
    <t>CMD00318</t>
  </si>
  <si>
    <t>CMD00319</t>
  </si>
  <si>
    <t>CMD00320</t>
  </si>
  <si>
    <t>CMD00321</t>
  </si>
  <si>
    <t>CMD00322</t>
  </si>
  <si>
    <t>CMD00323</t>
  </si>
  <si>
    <t>CMD00324</t>
  </si>
  <si>
    <t>CMD00325</t>
  </si>
  <si>
    <t>CMD00326</t>
  </si>
  <si>
    <t>CMD00327</t>
  </si>
  <si>
    <t>CMD00328</t>
  </si>
  <si>
    <t>CMD00329</t>
  </si>
  <si>
    <t>CMD00330</t>
  </si>
  <si>
    <t>CMD00331</t>
  </si>
  <si>
    <t>CMD00332</t>
  </si>
  <si>
    <t>CMD00333</t>
  </si>
  <si>
    <t>CMD00334</t>
  </si>
  <si>
    <t>CMD00335</t>
  </si>
  <si>
    <t>CMD00336</t>
  </si>
  <si>
    <t>CMD00337</t>
  </si>
  <si>
    <t>CMD00338</t>
  </si>
  <si>
    <t>CMD00339</t>
  </si>
  <si>
    <t>CMD00340</t>
  </si>
  <si>
    <t>CMD00341</t>
  </si>
  <si>
    <t>CMD00342</t>
  </si>
  <si>
    <t>CMD00343</t>
  </si>
  <si>
    <t>CMD00344</t>
  </si>
  <si>
    <t>CMD00345</t>
  </si>
  <si>
    <t>CMD00346</t>
  </si>
  <si>
    <t>CMD00347</t>
  </si>
  <si>
    <t>CMD00348</t>
  </si>
  <si>
    <t>CMD00349</t>
  </si>
  <si>
    <t>CMD00350</t>
  </si>
  <si>
    <t>CMD00351</t>
  </si>
  <si>
    <t>CMD00352</t>
  </si>
  <si>
    <t>CMD00353</t>
  </si>
  <si>
    <t>CMD00354</t>
  </si>
  <si>
    <t>CMD00355</t>
  </si>
  <si>
    <t>CMD00356</t>
  </si>
  <si>
    <t>CMD00357</t>
  </si>
  <si>
    <t>CMD00358</t>
  </si>
  <si>
    <t>CMD00359</t>
  </si>
  <si>
    <t>CMD00360</t>
  </si>
  <si>
    <t>CMD00361</t>
  </si>
  <si>
    <t>CMD00362</t>
  </si>
  <si>
    <t>CMD00363</t>
  </si>
  <si>
    <t>CMD00364</t>
  </si>
  <si>
    <t>CMD00365</t>
  </si>
  <si>
    <t>CMD00366</t>
  </si>
  <si>
    <t>CMD00367</t>
  </si>
  <si>
    <t>CMD00368</t>
  </si>
  <si>
    <t>CMD00369</t>
  </si>
  <si>
    <t>CMD00370</t>
  </si>
  <si>
    <t>CMD00371</t>
  </si>
  <si>
    <t>CMD00372</t>
  </si>
  <si>
    <t>CMD00373</t>
  </si>
  <si>
    <t>CMD00374</t>
  </si>
  <si>
    <t>CMD00375</t>
  </si>
  <si>
    <t>CMD00376</t>
  </si>
  <si>
    <t>CMD00377</t>
  </si>
  <si>
    <t>CMD00378</t>
  </si>
  <si>
    <t>CMD00379</t>
  </si>
  <si>
    <t>CMD00380</t>
  </si>
  <si>
    <t>CMD00381</t>
  </si>
  <si>
    <t>CMD00382</t>
  </si>
  <si>
    <t>CMD00383</t>
  </si>
  <si>
    <t>CMD00384</t>
  </si>
  <si>
    <t>CMD00385</t>
  </si>
  <si>
    <t>CMD00386</t>
  </si>
  <si>
    <t>CMD00387</t>
  </si>
  <si>
    <t>CMD00388</t>
  </si>
  <si>
    <t>CMD00389</t>
  </si>
  <si>
    <t>CMD00390</t>
  </si>
  <si>
    <t>CMD00391</t>
  </si>
  <si>
    <t>CMD00392</t>
  </si>
  <si>
    <t>CMD00393</t>
  </si>
  <si>
    <t>CMD00394</t>
  </si>
  <si>
    <t>CMD00395</t>
  </si>
  <si>
    <t>CMD00396</t>
  </si>
  <si>
    <t>CMD00397</t>
  </si>
  <si>
    <t>CMD00398</t>
  </si>
  <si>
    <t>CMD00399</t>
  </si>
  <si>
    <t>CMD00400</t>
  </si>
  <si>
    <t>CMD00401</t>
  </si>
  <si>
    <t>CMD00402</t>
  </si>
  <si>
    <t>CMD00403</t>
  </si>
  <si>
    <t>CMD00404</t>
  </si>
  <si>
    <t>CMD00405</t>
  </si>
  <si>
    <t>CMD00406</t>
  </si>
  <si>
    <t>CMD00407</t>
  </si>
  <si>
    <t>CMD00408</t>
  </si>
  <si>
    <t>CMD00409</t>
  </si>
  <si>
    <t>CMD00410</t>
  </si>
  <si>
    <t>CMD00411</t>
  </si>
  <si>
    <t>CMD00412</t>
  </si>
  <si>
    <t>CMD00413</t>
  </si>
  <si>
    <t>CMD00414</t>
  </si>
  <si>
    <t>CMD00415</t>
  </si>
  <si>
    <t>CMD00416</t>
  </si>
  <si>
    <t>CMD00417</t>
  </si>
  <si>
    <t>CMD00418</t>
  </si>
  <si>
    <t>CMD00419</t>
  </si>
  <si>
    <t>CMD00420</t>
  </si>
  <si>
    <t>ID_Ligne</t>
  </si>
  <si>
    <t>Quantité</t>
  </si>
  <si>
    <t>Remise_%</t>
  </si>
  <si>
    <t>CA_HT</t>
  </si>
  <si>
    <t>TVA</t>
  </si>
  <si>
    <t>CA_TTC</t>
  </si>
  <si>
    <t>L000001</t>
  </si>
  <si>
    <t>L000002</t>
  </si>
  <si>
    <t>L000003</t>
  </si>
  <si>
    <t>L000004</t>
  </si>
  <si>
    <t>L000005</t>
  </si>
  <si>
    <t>L000006</t>
  </si>
  <si>
    <t>L000007</t>
  </si>
  <si>
    <t>L000008</t>
  </si>
  <si>
    <t>L000009</t>
  </si>
  <si>
    <t>L000010</t>
  </si>
  <si>
    <t>L000011</t>
  </si>
  <si>
    <t>L000012</t>
  </si>
  <si>
    <t>L000013</t>
  </si>
  <si>
    <t>L000014</t>
  </si>
  <si>
    <t>L000015</t>
  </si>
  <si>
    <t>L000016</t>
  </si>
  <si>
    <t>L000017</t>
  </si>
  <si>
    <t>L000018</t>
  </si>
  <si>
    <t>L000019</t>
  </si>
  <si>
    <t>L000020</t>
  </si>
  <si>
    <t>L000021</t>
  </si>
  <si>
    <t>L000022</t>
  </si>
  <si>
    <t>L000023</t>
  </si>
  <si>
    <t>L000024</t>
  </si>
  <si>
    <t>L000025</t>
  </si>
  <si>
    <t>L000026</t>
  </si>
  <si>
    <t>L000027</t>
  </si>
  <si>
    <t>L000028</t>
  </si>
  <si>
    <t>L000029</t>
  </si>
  <si>
    <t>L000030</t>
  </si>
  <si>
    <t>L000031</t>
  </si>
  <si>
    <t>L000032</t>
  </si>
  <si>
    <t>L000033</t>
  </si>
  <si>
    <t>L000034</t>
  </si>
  <si>
    <t>L000035</t>
  </si>
  <si>
    <t>L000036</t>
  </si>
  <si>
    <t>L000037</t>
  </si>
  <si>
    <t>L000038</t>
  </si>
  <si>
    <t>L000039</t>
  </si>
  <si>
    <t>L000040</t>
  </si>
  <si>
    <t>L000041</t>
  </si>
  <si>
    <t>L000042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</si>
  <si>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</si>
  <si>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</si>
  <si>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</si>
  <si>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</si>
  <si>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</si>
  <si>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</si>
  <si>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</si>
  <si>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</si>
  <si>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L000051</t>
  </si>
  <si>
    <t>L000052</t>
  </si>
  <si>
    <t>L000053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</si>
  <si>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</si>
  <si>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</si>
  <si>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</si>
  <si>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</si>
  <si>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</si>
  <si>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</si>
  <si>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</si>
  <si>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</si>
  <si>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</si>
  <si>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</si>
  <si>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</si>
  <si>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</si>
  <si>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</si>
  <si>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</si>
  <si>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</si>
  <si>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</si>
  <si>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</si>
  <si>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</si>
  <si>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</si>
  <si>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</si>
  <si>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</si>
  <si>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</si>
  <si>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</si>
  <si>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</si>
  <si>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</si>
  <si>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</si>
  <si>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L000080</t>
  </si>
  <si>
    <t>L000081</t>
  </si>
  <si>
    <t>L000082</t>
  </si>
  <si>
    <t>L000083</t>
  </si>
  <si>
    <t>L000084</t>
  </si>
  <si>
    <t>L000085</t>
  </si>
  <si>
    <t>L000086</t>
  </si>
  <si>
    <t>L000087</t>
  </si>
  <si>
    <t>L000088</t>
  </si>
  <si>
    <t>L000089</t>
  </si>
  <si>
    <t>L000090</t>
  </si>
  <si>
    <t>L000091</t>
  </si>
  <si>
    <t>L000092</t>
  </si>
  <si>
    <t>L000093</t>
  </si>
  <si>
    <t>L000094</t>
  </si>
  <si>
    <t>L000095</t>
  </si>
  <si>
    <t>L000096</t>
  </si>
  <si>
    <t>L000097</t>
  </si>
  <si>
    <t>L000098</t>
  </si>
  <si>
    <t>L000099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</si>
  <si>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</si>
  <si>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</si>
  <si>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</si>
  <si>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</si>
  <si>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</si>
  <si>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</si>
  <si>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</si>
  <si>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</si>
  <si>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</si>
  <si>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</si>
  <si>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</si>
  <si>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</si>
  <si>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</si>
  <si>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</si>
  <si>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L000114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</si>
  <si>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</si>
  <si>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</si>
  <si>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</si>
  <si>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</si>
  <si>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</si>
  <si>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</si>
  <si>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</si>
  <si>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</si>
  <si>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</si>
  <si>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</si>
  <si>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</si>
  <si>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</si>
  <si>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</si>
  <si>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</si>
  <si>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</si>
  <si>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</si>
  <si>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</si>
  <si>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L000132</t>
  </si>
  <si>
    <t>L000133</t>
  </si>
  <si>
    <t>L000134</t>
  </si>
  <si>
    <t>L000135</t>
  </si>
  <si>
    <t>L000136</t>
  </si>
  <si>
    <t>L000137</t>
  </si>
  <si>
    <t>L000138</t>
  </si>
  <si>
    <t>L000139</t>
  </si>
  <si>
    <t>L000140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</si>
  <si>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</si>
  <si>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</si>
  <si>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</si>
  <si>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</si>
  <si>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</si>
  <si>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</si>
  <si>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</si>
  <si>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</si>
  <si>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</si>
  <si>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</si>
  <si>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L000151</t>
  </si>
  <si>
    <t>L000152</t>
  </si>
  <si>
    <t>L000153</t>
  </si>
  <si>
    <t>L000154</t>
  </si>
  <si>
    <t>L000155</t>
  </si>
  <si>
    <t>L000156</t>
  </si>
  <si>
    <t>L000157</t>
  </si>
  <si>
    <t>L000158</t>
  </si>
  <si>
    <t>L000159</t>
  </si>
  <si>
    <t>L000160</t>
  </si>
  <si>
    <t>L000161</t>
  </si>
  <si>
    <t>L000162</t>
  </si>
  <si>
    <t>L000163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</si>
  <si>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</si>
  <si>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</si>
  <si>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</si>
  <si>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</si>
  <si>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</si>
  <si>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</si>
  <si>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</si>
  <si>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</si>
  <si>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</si>
  <si>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</si>
  <si>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L000174</t>
  </si>
  <si>
    <t>L000175</t>
  </si>
  <si>
    <t>L000176</t>
  </si>
  <si>
    <t>L000177</t>
  </si>
  <si>
    <t>L000178</t>
  </si>
  <si>
    <t>L000179</t>
  </si>
  <si>
    <t>L000180</t>
  </si>
  <si>
    <t>L000181</t>
  </si>
  <si>
    <t>L000182</t>
  </si>
  <si>
    <t>L000183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</si>
  <si>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</si>
  <si>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</si>
  <si>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</si>
  <si>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</si>
  <si>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</si>
  <si>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</si>
  <si>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</si>
  <si>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</si>
  <si>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</si>
  <si>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</si>
  <si>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</si>
  <si>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</si>
  <si>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</si>
  <si>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</si>
  <si>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</si>
  <si>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</si>
  <si>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L000200</t>
  </si>
  <si>
    <t>L000201</t>
  </si>
  <si>
    <t>L000202</t>
  </si>
  <si>
    <t>L000203</t>
  </si>
  <si>
    <t>L000204</t>
  </si>
  <si>
    <t>L000205</t>
  </si>
  <si>
    <t>L000206</t>
  </si>
  <si>
    <t>L000207</t>
  </si>
  <si>
    <t>L000208</t>
  </si>
  <si>
    <t>L000209</t>
  </si>
  <si>
    <t>L000210</t>
  </si>
  <si>
    <t>L000211</t>
  </si>
  <si>
    <t>L000212</t>
  </si>
  <si>
    <t>L000213</t>
  </si>
  <si>
    <t>L000214</t>
  </si>
  <si>
    <t>L000215</t>
  </si>
  <si>
    <t>L000216</t>
  </si>
  <si>
    <t>L000217</t>
  </si>
  <si>
    <t>L000218</t>
  </si>
  <si>
    <t>L000219</t>
  </si>
  <si>
    <t>L000220</t>
  </si>
  <si>
    <t>L000221</t>
  </si>
  <si>
    <t>L000222</t>
  </si>
  <si>
    <t>L000223</t>
  </si>
  <si>
    <t>L000224</t>
  </si>
  <si>
    <t>L000225</t>
  </si>
  <si>
    <t>L000226</t>
  </si>
  <si>
    <t>L000227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</si>
  <si>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</si>
  <si>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</si>
  <si>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</si>
  <si>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</si>
  <si>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</si>
  <si>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</si>
  <si>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</si>
  <si>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</si>
  <si>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L000236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</si>
  <si>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</si>
  <si>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</si>
  <si>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</si>
  <si>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</si>
  <si>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</si>
  <si>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</si>
  <si>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</si>
  <si>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</si>
  <si>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</si>
  <si>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</si>
  <si>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</si>
  <si>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L000248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</si>
  <si>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</si>
  <si>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</si>
  <si>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</si>
  <si>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</si>
  <si>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</si>
  <si>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</si>
  <si>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</si>
  <si>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</si>
  <si>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</si>
  <si>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L000258</t>
  </si>
  <si>
    <t>L000259</t>
  </si>
  <si>
    <t>L000260</t>
  </si>
  <si>
    <t>L000261</t>
  </si>
  <si>
    <t>L000262</t>
  </si>
  <si>
    <t>L000263</t>
  </si>
  <si>
    <t>L000264</t>
  </si>
  <si>
    <t>L000265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</si>
  <si>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</si>
  <si>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</si>
  <si>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</si>
  <si>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</si>
  <si>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</si>
  <si>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</si>
  <si>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</si>
  <si>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</si>
  <si>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</si>
  <si>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</si>
  <si>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</si>
  <si>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</si>
  <si>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</si>
  <si>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L000279</t>
  </si>
  <si>
    <t>L000280</t>
  </si>
  <si>
    <t>L000281</t>
  </si>
  <si>
    <t>L000282</t>
  </si>
  <si>
    <t>L000283</t>
  </si>
  <si>
    <t>L000284</t>
  </si>
  <si>
    <t>L000285</t>
  </si>
  <si>
    <t>L000286</t>
  </si>
  <si>
    <t>L000287</t>
  </si>
  <si>
    <t>L000288</t>
  </si>
  <si>
    <t>L000289</t>
  </si>
  <si>
    <t>L000290</t>
  </si>
  <si>
    <t>L000291</t>
  </si>
  <si>
    <t>L000292</t>
  </si>
  <si>
    <t>L000293</t>
  </si>
  <si>
    <t>L000294</t>
  </si>
  <si>
    <t>L000295</t>
  </si>
  <si>
    <t>L000296</t>
  </si>
  <si>
    <t>L000297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</si>
  <si>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</si>
  <si>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</si>
  <si>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</si>
  <si>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</si>
  <si>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</si>
  <si>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</si>
  <si>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</si>
  <si>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</si>
  <si>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</si>
  <si>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</si>
  <si>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L000308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</si>
  <si>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</si>
  <si>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</si>
  <si>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</si>
  <si>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</si>
  <si>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</si>
  <si>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</si>
  <si>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</si>
  <si>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</si>
  <si>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</si>
  <si>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</si>
  <si>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</si>
  <si>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L000320</t>
  </si>
  <si>
    <t>L000321</t>
  </si>
  <si>
    <t>L000322</t>
  </si>
  <si>
    <t>L000323</t>
  </si>
  <si>
    <t>L000324</t>
  </si>
  <si>
    <t>L000325</t>
  </si>
  <si>
    <t>L000326</t>
  </si>
  <si>
    <t>L000327</t>
  </si>
  <si>
    <t>L000328</t>
  </si>
  <si>
    <t>L000329</t>
  </si>
  <si>
    <t>L000330</t>
  </si>
  <si>
    <t>L000331</t>
  </si>
  <si>
    <t>L000332</t>
  </si>
  <si>
    <t>L000333</t>
  </si>
  <si>
    <t>L000334</t>
  </si>
  <si>
    <t>L000335</t>
  </si>
  <si>
    <t>L000336</t>
  </si>
  <si>
    <t>L000337</t>
  </si>
  <si>
    <t>L000338</t>
  </si>
  <si>
    <t>L000339</t>
  </si>
  <si>
    <t>L000340</t>
  </si>
  <si>
    <t>L000341</t>
  </si>
  <si>
    <t>L000342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</si>
  <si>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</si>
  <si>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</si>
  <si>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</si>
  <si>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</si>
  <si>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</si>
  <si>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</si>
  <si>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</si>
  <si>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</si>
  <si>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</si>
  <si>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</si>
  <si>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</si>
  <si>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</si>
  <si>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</si>
  <si>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</si>
  <si>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</si>
  <si>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</si>
  <si>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L000359</t>
  </si>
  <si>
    <t>L000360</t>
  </si>
  <si>
    <t>L000361</t>
  </si>
  <si>
    <t>L000362</t>
  </si>
  <si>
    <t>L000363</t>
  </si>
  <si>
    <t>L000364</t>
  </si>
  <si>
    <t>L000365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</si>
  <si>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</si>
  <si>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</si>
  <si>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</si>
  <si>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</si>
  <si>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</si>
  <si>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</si>
  <si>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</si>
  <si>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</si>
  <si>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L000374</t>
  </si>
  <si>
    <t>L000375</t>
  </si>
  <si>
    <t>L000376</t>
  </si>
  <si>
    <t>L000377</t>
  </si>
  <si>
    <t>L000378</t>
  </si>
  <si>
    <t>L000379</t>
  </si>
  <si>
    <t>L000380</t>
  </si>
  <si>
    <t>L000381</t>
  </si>
  <si>
    <t>L000382</t>
  </si>
  <si>
    <t>L000383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</si>
  <si>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</si>
  <si>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</si>
  <si>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</si>
  <si>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</si>
  <si>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</si>
  <si>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</si>
  <si>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</si>
  <si>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</si>
  <si>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</si>
  <si>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L000393</t>
  </si>
  <si>
    <t>L000394</t>
  </si>
  <si>
    <t>L000395</t>
  </si>
  <si>
    <t>L000396</t>
  </si>
  <si>
    <t>L000397</t>
  </si>
  <si>
    <t>L000398</t>
  </si>
  <si>
    <t>L000399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</si>
  <si>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</si>
  <si>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</si>
  <si>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</si>
  <si>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</si>
  <si>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</si>
  <si>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</si>
  <si>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</si>
  <si>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</si>
  <si>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</si>
  <si>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</si>
  <si>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L000410</t>
  </si>
  <si>
    <t>L000411</t>
  </si>
  <si>
    <t>L000412</t>
  </si>
  <si>
    <t>L000413</t>
  </si>
  <si>
    <t>L000414</t>
  </si>
  <si>
    <t>L000415</t>
  </si>
  <si>
    <t>L000416</t>
  </si>
  <si>
    <t>L000417</t>
  </si>
  <si>
    <t>L000418</t>
  </si>
  <si>
    <t>L000419</t>
  </si>
  <si>
    <t>L000420</t>
  </si>
  <si>
    <t>L000421</t>
  </si>
  <si>
    <t>L000422</t>
  </si>
  <si>
    <t>L000423</t>
  </si>
  <si>
    <t>L000424</t>
  </si>
  <si>
    <t>L000425</t>
  </si>
  <si>
    <t>L000426</t>
  </si>
  <si>
    <t>L000427</t>
  </si>
  <si>
    <t>L000428</t>
  </si>
  <si>
    <t>L000429</t>
  </si>
  <si>
    <t>L000430</t>
  </si>
  <si>
    <t>L000431</t>
  </si>
  <si>
    <t>L000432</t>
  </si>
  <si>
    <t>L000433</t>
  </si>
  <si>
    <t>L000434</t>
  </si>
  <si>
    <t>L000435</t>
  </si>
  <si>
    <t>L000436</t>
  </si>
  <si>
    <t>L000437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</si>
  <si>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</si>
  <si>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</si>
  <si>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</si>
  <si>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</si>
  <si>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</si>
  <si>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</si>
  <si>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</si>
  <si>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</si>
  <si>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</si>
  <si>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</si>
  <si>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</si>
  <si>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</si>
  <si>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L000450</t>
  </si>
  <si>
    <t>L000451</t>
  </si>
  <si>
    <t>L000452</t>
  </si>
  <si>
    <t>L000453</t>
  </si>
  <si>
    <t>L000454</t>
  </si>
  <si>
    <t>L000455</t>
  </si>
  <si>
    <t>L000456</t>
  </si>
  <si>
    <t>L000457</t>
  </si>
  <si>
    <t>L000458</t>
  </si>
  <si>
    <t>L000459</t>
  </si>
  <si>
    <t>L000460</t>
  </si>
  <si>
    <t>L000461</t>
  </si>
  <si>
    <t>L000462</t>
  </si>
  <si>
    <t>L000463</t>
  </si>
  <si>
    <t>L000464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</si>
  <si>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</si>
  <si>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</si>
  <si>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</si>
  <si>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</si>
  <si>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</si>
  <si>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</si>
  <si>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</si>
  <si>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</si>
  <si>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</si>
  <si>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</si>
  <si>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</si>
  <si>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</si>
  <si>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</si>
  <si>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L000478</t>
  </si>
  <si>
    <t>L000479</t>
  </si>
  <si>
    <t>L000480</t>
  </si>
  <si>
    <t>L000481</t>
  </si>
  <si>
    <t>L000482</t>
  </si>
  <si>
    <t>L000483</t>
  </si>
  <si>
    <t>L000484</t>
  </si>
  <si>
    <t>L000485</t>
  </si>
  <si>
    <t>L000486</t>
  </si>
  <si>
    <t>L000487</t>
  </si>
  <si>
    <t>L000488</t>
  </si>
  <si>
    <t>L000489</t>
  </si>
  <si>
    <t>L000490</t>
  </si>
  <si>
    <t>L000491</t>
  </si>
  <si>
    <t>L000492</t>
  </si>
  <si>
    <t>L000493</t>
  </si>
  <si>
    <t>L000494</t>
  </si>
  <si>
    <t>L000495</t>
  </si>
  <si>
    <t>L000496</t>
  </si>
  <si>
    <t>L000497</t>
  </si>
  <si>
    <t>L000498</t>
  </si>
  <si>
    <t>L000499</t>
  </si>
  <si>
    <t>L000500</t>
  </si>
  <si>
    <t>L000501</t>
  </si>
  <si>
    <t>L000502</t>
  </si>
  <si>
    <t>L000503</t>
  </si>
  <si>
    <t>L000504</t>
  </si>
  <si>
    <t>L000505</t>
  </si>
  <si>
    <t>L000506</t>
  </si>
  <si>
    <t>L000507</t>
  </si>
  <si>
    <t>L000508</t>
  </si>
  <si>
    <t>L000509</t>
  </si>
  <si>
    <t>L000510</t>
  </si>
  <si>
    <t>L000511</t>
  </si>
  <si>
    <t>L000512</t>
  </si>
  <si>
    <t>L000513</t>
  </si>
  <si>
    <t>L000514</t>
  </si>
  <si>
    <t>L000515</t>
  </si>
  <si>
    <t>L000516</t>
  </si>
  <si>
    <t>L000517</t>
  </si>
  <si>
    <t>L000518</t>
  </si>
  <si>
    <t>L000519</t>
  </si>
  <si>
    <t>L000520</t>
  </si>
  <si>
    <t>L000521</t>
  </si>
  <si>
    <t>L000522</t>
  </si>
  <si>
    <t>L000523</t>
  </si>
  <si>
    <t>L000524</t>
  </si>
  <si>
    <t>L000525</t>
  </si>
  <si>
    <t>L000526</t>
  </si>
  <si>
    <t>L000527</t>
  </si>
  <si>
    <t>L000528</t>
  </si>
  <si>
    <t>L000529</t>
  </si>
  <si>
    <t>L000530</t>
  </si>
  <si>
    <t>L000531</t>
  </si>
  <si>
    <t>L000532</t>
  </si>
  <si>
    <t>L000533</t>
  </si>
  <si>
    <t>L000534</t>
  </si>
  <si>
    <t>L000535</t>
  </si>
  <si>
    <t>L000536</t>
  </si>
  <si>
    <t>L000537</t>
  </si>
  <si>
    <t>L000538</t>
  </si>
  <si>
    <t>L000539</t>
  </si>
  <si>
    <t>L000540</t>
  </si>
  <si>
    <t>L000541</t>
  </si>
  <si>
    <t>L000542</t>
  </si>
  <si>
    <t>L000543</t>
  </si>
  <si>
    <t>L000544</t>
  </si>
  <si>
    <t>L000545</t>
  </si>
  <si>
    <t>L000546</t>
  </si>
  <si>
    <t>L000547</t>
  </si>
  <si>
    <t>L000548</t>
  </si>
  <si>
    <t>L000549</t>
  </si>
  <si>
    <t>L000550</t>
  </si>
  <si>
    <t>L000551</t>
  </si>
  <si>
    <t>L000552</t>
  </si>
  <si>
    <t>L000553</t>
  </si>
  <si>
    <t>L000554</t>
  </si>
  <si>
    <t>L000555</t>
  </si>
  <si>
    <t>L000556</t>
  </si>
  <si>
    <t>L000557</t>
  </si>
  <si>
    <t>L000558</t>
  </si>
  <si>
    <t>L000559</t>
  </si>
  <si>
    <t>L000560</t>
  </si>
  <si>
    <t>L000561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</si>
  <si>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</si>
  <si>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</si>
  <si>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</si>
  <si>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</si>
  <si>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</si>
  <si>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</si>
  <si>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</si>
  <si>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</si>
  <si>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</si>
  <si>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</si>
  <si>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</si>
  <si>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</si>
  <si>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</si>
  <si>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</si>
  <si>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</si>
  <si>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</si>
  <si>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</si>
  <si>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</si>
  <si>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</si>
  <si>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</si>
  <si>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</si>
  <si>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</si>
  <si>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</si>
  <si>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</si>
  <si>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</si>
  <si>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</si>
  <si>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</si>
  <si>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</si>
  <si>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</si>
  <si>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</si>
  <si>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</si>
  <si>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</si>
  <si>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L000594</t>
  </si>
  <si>
    <t>L000595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</si>
  <si>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</si>
  <si>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</si>
  <si>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</si>
  <si>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</si>
  <si>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</si>
  <si>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</si>
  <si>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</si>
  <si>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</si>
  <si>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</si>
  <si>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</si>
  <si>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L000606</t>
  </si>
  <si>
    <t>L000607</t>
  </si>
  <si>
    <t>L000608</t>
  </si>
  <si>
    <t>L000609</t>
  </si>
  <si>
    <t>L000610</t>
  </si>
  <si>
    <t>L000611</t>
  </si>
  <si>
    <t>L000612</t>
  </si>
  <si>
    <t>L000613</t>
  </si>
  <si>
    <t>L000614</t>
  </si>
  <si>
    <t>L000615</t>
  </si>
  <si>
    <t>L000616</t>
  </si>
  <si>
    <t>L000617</t>
  </si>
  <si>
    <t>L000618</t>
  </si>
  <si>
    <t>L000619</t>
  </si>
  <si>
    <t>L000620</t>
  </si>
  <si>
    <t>L000621</t>
  </si>
  <si>
    <t>L000622</t>
  </si>
  <si>
    <t>L000623</t>
  </si>
  <si>
    <t>L000624</t>
  </si>
  <si>
    <t>L000625</t>
  </si>
  <si>
    <t>L000626</t>
  </si>
  <si>
    <t>L000627</t>
  </si>
  <si>
    <t>L000628</t>
  </si>
  <si>
    <t>L000629</t>
  </si>
  <si>
    <t>L000630</t>
  </si>
  <si>
    <t>L000631</t>
  </si>
  <si>
    <t>L000632</t>
  </si>
  <si>
    <t>L000633</t>
  </si>
  <si>
    <t>L000634</t>
  </si>
  <si>
    <t>L000635</t>
  </si>
  <si>
    <t>L000636</t>
  </si>
  <si>
    <t>L000637</t>
  </si>
  <si>
    <t>L000638</t>
  </si>
  <si>
    <t>L000639</t>
  </si>
  <si>
    <t>L000640</t>
  </si>
  <si>
    <t>L000641</t>
  </si>
  <si>
    <t>L000642</t>
  </si>
  <si>
    <t>L000643</t>
  </si>
  <si>
    <t>L000644</t>
  </si>
  <si>
    <t>L000645</t>
  </si>
  <si>
    <t>L000646</t>
  </si>
  <si>
    <t>L000647</t>
  </si>
  <si>
    <t>L000648</t>
  </si>
  <si>
    <t>L000649</t>
  </si>
  <si>
    <t>L000650</t>
  </si>
  <si>
    <t>L000651</t>
  </si>
  <si>
    <t>L000652</t>
  </si>
  <si>
    <t>L000653</t>
  </si>
  <si>
    <t>L000654</t>
  </si>
  <si>
    <t>L000655</t>
  </si>
  <si>
    <t>L000656</t>
  </si>
  <si>
    <t>L000657</t>
  </si>
  <si>
    <t>L000658</t>
  </si>
  <si>
    <t>L000659</t>
  </si>
  <si>
    <t>L000660</t>
  </si>
  <si>
    <t>L000661</t>
  </si>
  <si>
    <t>L000662</t>
  </si>
  <si>
    <t>L000663</t>
  </si>
  <si>
    <t>L000664</t>
  </si>
  <si>
    <t>L000665</t>
  </si>
  <si>
    <t>L000666</t>
  </si>
  <si>
    <t>L000667</t>
  </si>
  <si>
    <t>L000668</t>
  </si>
  <si>
    <t>L000669</t>
  </si>
  <si>
    <t>L000670</t>
  </si>
  <si>
    <t>L000671</t>
  </si>
  <si>
    <t>L000672</t>
  </si>
  <si>
    <t>L000673</t>
  </si>
  <si>
    <t>L000674</t>
  </si>
  <si>
    <t>L000675</t>
  </si>
  <si>
    <t>L000676</t>
  </si>
  <si>
    <t>L000677</t>
  </si>
  <si>
    <t>L000678</t>
  </si>
  <si>
    <t>L000679</t>
  </si>
  <si>
    <t>L000680</t>
  </si>
  <si>
    <t>L000681</t>
  </si>
  <si>
    <t>L000682</t>
  </si>
  <si>
    <t>L000683</t>
  </si>
  <si>
    <t>L000684</t>
  </si>
  <si>
    <t>L000685</t>
  </si>
  <si>
    <t>L000686</t>
  </si>
  <si>
    <t>L000687</t>
  </si>
  <si>
    <t>L000688</t>
  </si>
  <si>
    <t>L000689</t>
  </si>
  <si>
    <t>L000690</t>
  </si>
  <si>
    <t>L000691</t>
  </si>
  <si>
    <t>L000692</t>
  </si>
  <si>
    <t>L000693</t>
  </si>
  <si>
    <t>L000694</t>
  </si>
  <si>
    <t>L000695</t>
  </si>
  <si>
    <t>L000696</t>
  </si>
  <si>
    <t>L000697</t>
  </si>
  <si>
    <t>L000698</t>
  </si>
  <si>
    <t>L000699</t>
  </si>
  <si>
    <t>L000700</t>
  </si>
  <si>
    <t>L000701</t>
  </si>
  <si>
    <t>L000702</t>
  </si>
  <si>
    <t>L000703</t>
  </si>
  <si>
    <t>L000704</t>
  </si>
  <si>
    <t>L000705</t>
  </si>
  <si>
    <t>L000706</t>
  </si>
  <si>
    <t>L000707</t>
  </si>
  <si>
    <t>L000708</t>
  </si>
  <si>
    <t>L000709</t>
  </si>
  <si>
    <t>L000710</t>
  </si>
  <si>
    <t>L000711</t>
  </si>
  <si>
    <t>L000712</t>
  </si>
  <si>
    <t>L000713</t>
  </si>
  <si>
    <t>L000714</t>
  </si>
  <si>
    <t>L000715</t>
  </si>
  <si>
    <t>L000716</t>
  </si>
  <si>
    <t>L000717</t>
  </si>
  <si>
    <t>L000718</t>
  </si>
  <si>
    <t>L000719</t>
  </si>
  <si>
    <t>L000720</t>
  </si>
  <si>
    <t>L000721</t>
  </si>
  <si>
    <t>L000722</t>
  </si>
  <si>
    <t>L000723</t>
  </si>
  <si>
    <t>L000724</t>
  </si>
  <si>
    <t>L000725</t>
  </si>
  <si>
    <t>L000726</t>
  </si>
  <si>
    <t>L000727</t>
  </si>
  <si>
    <t>L000728</t>
  </si>
  <si>
    <t>L000729</t>
  </si>
  <si>
    <t>L000730</t>
  </si>
  <si>
    <t>L000731</t>
  </si>
  <si>
    <t>L000732</t>
  </si>
  <si>
    <t>L000733</t>
  </si>
  <si>
    <t>L000734</t>
  </si>
  <si>
    <t>L000735</t>
  </si>
  <si>
    <t>L000736</t>
  </si>
  <si>
    <t>L000737</t>
  </si>
  <si>
    <t>L000738</t>
  </si>
  <si>
    <t>L000739</t>
  </si>
  <si>
    <t>L000740</t>
  </si>
  <si>
    <t>L000741</t>
  </si>
  <si>
    <t>L000742</t>
  </si>
  <si>
    <t>L000743</t>
  </si>
  <si>
    <t>L000744</t>
  </si>
  <si>
    <t>L000745</t>
  </si>
  <si>
    <t>L000746</t>
  </si>
  <si>
    <t>L000747</t>
  </si>
  <si>
    <t>L000748</t>
  </si>
  <si>
    <t>L000749</t>
  </si>
  <si>
    <t>L000750</t>
  </si>
  <si>
    <t>L000751</t>
  </si>
  <si>
    <t>L000752</t>
  </si>
  <si>
    <t>L000753</t>
  </si>
  <si>
    <t>L000754</t>
  </si>
  <si>
    <t>L000755</t>
  </si>
  <si>
    <t>L000756</t>
  </si>
  <si>
    <t>L000757</t>
  </si>
  <si>
    <t>L000758</t>
  </si>
  <si>
    <t>L000759</t>
  </si>
  <si>
    <t>L000760</t>
  </si>
  <si>
    <t>L000761</t>
  </si>
  <si>
    <t>L000762</t>
  </si>
  <si>
    <t>L000763</t>
  </si>
  <si>
    <t>L000764</t>
  </si>
  <si>
    <t>L000765</t>
  </si>
  <si>
    <t>L000766</t>
  </si>
  <si>
    <t>L000767</t>
  </si>
  <si>
    <t>L000768</t>
  </si>
  <si>
    <t>L000769</t>
  </si>
  <si>
    <t>L000770</t>
  </si>
  <si>
    <t>L000771</t>
  </si>
  <si>
    <t>L000772</t>
  </si>
  <si>
    <t>L000773</t>
  </si>
  <si>
    <t>L000774</t>
  </si>
  <si>
    <t>L000775</t>
  </si>
  <si>
    <t>L000776</t>
  </si>
  <si>
    <t>L000777</t>
  </si>
  <si>
    <t>L000778</t>
  </si>
  <si>
    <t>L000779</t>
  </si>
  <si>
    <t>L000780</t>
  </si>
  <si>
    <t>L000781</t>
  </si>
  <si>
    <t>L000782</t>
  </si>
  <si>
    <t>L000783</t>
  </si>
  <si>
    <t>L000784</t>
  </si>
  <si>
    <t>L000785</t>
  </si>
  <si>
    <t>L000786</t>
  </si>
  <si>
    <t>L000787</t>
  </si>
  <si>
    <t>L000788</t>
  </si>
  <si>
    <t>L000789</t>
  </si>
  <si>
    <t>L000790</t>
  </si>
  <si>
    <t>L000791</t>
  </si>
  <si>
    <t>L000792</t>
  </si>
  <si>
    <t>L000793</t>
  </si>
  <si>
    <t>L000794</t>
  </si>
  <si>
    <t>L000795</t>
  </si>
  <si>
    <t>L000796</t>
  </si>
  <si>
    <t>L000797</t>
  </si>
  <si>
    <t>L000798</t>
  </si>
  <si>
    <t>L000799</t>
  </si>
  <si>
    <t>L000800</t>
  </si>
  <si>
    <t>L000801</t>
  </si>
  <si>
    <t>L000802</t>
  </si>
  <si>
    <t>L000803</t>
  </si>
  <si>
    <t>L000804</t>
  </si>
  <si>
    <t>L000805</t>
  </si>
  <si>
    <t>L000806</t>
  </si>
  <si>
    <t>L000807</t>
  </si>
  <si>
    <t>L000808</t>
  </si>
  <si>
    <t>L000809</t>
  </si>
  <si>
    <t>L000810</t>
  </si>
  <si>
    <t>L000811</t>
  </si>
  <si>
    <t>L000812</t>
  </si>
  <si>
    <t>L000813</t>
  </si>
  <si>
    <t>L000814</t>
  </si>
  <si>
    <t>L000815</t>
  </si>
  <si>
    <t>L000816</t>
  </si>
  <si>
    <t>L000817</t>
  </si>
  <si>
    <t>L000818</t>
  </si>
  <si>
    <t>L000819</t>
  </si>
  <si>
    <t>L000820</t>
  </si>
  <si>
    <t>L000821</t>
  </si>
  <si>
    <t>L000822</t>
  </si>
  <si>
    <t>L000823</t>
  </si>
  <si>
    <t>L000824</t>
  </si>
  <si>
    <t>L000825</t>
  </si>
  <si>
    <t>L000826</t>
  </si>
  <si>
    <t>L000827</t>
  </si>
  <si>
    <t>L000828</t>
  </si>
  <si>
    <t>L000829</t>
  </si>
  <si>
    <t>L000830</t>
  </si>
  <si>
    <t>L000831</t>
  </si>
  <si>
    <t>L000832</t>
  </si>
  <si>
    <t>L000833</t>
  </si>
  <si>
    <t>L000834</t>
  </si>
  <si>
    <t>L000835</t>
  </si>
  <si>
    <t>L000836</t>
  </si>
  <si>
    <t>L000837</t>
  </si>
  <si>
    <t>L000838</t>
  </si>
  <si>
    <t>L000839</t>
  </si>
  <si>
    <t>L000840</t>
  </si>
  <si>
    <t>L000841</t>
  </si>
  <si>
    <t>L000842</t>
  </si>
  <si>
    <t>L000843</t>
  </si>
  <si>
    <t>L000844</t>
  </si>
  <si>
    <t>L000845</t>
  </si>
  <si>
    <t>L000846</t>
  </si>
  <si>
    <t>L000847</t>
  </si>
  <si>
    <t>L000848</t>
  </si>
  <si>
    <t>L000849</t>
  </si>
  <si>
    <t>L000850</t>
  </si>
  <si>
    <t>L000851</t>
  </si>
  <si>
    <t>L000852</t>
  </si>
  <si>
    <t>L000853</t>
  </si>
  <si>
    <t>L000854</t>
  </si>
  <si>
    <t>L000855</t>
  </si>
  <si>
    <t>L000856</t>
  </si>
  <si>
    <t>L000857</t>
  </si>
  <si>
    <t>L000858</t>
  </si>
  <si>
    <t>L000859</t>
  </si>
  <si>
    <t>L000860</t>
  </si>
  <si>
    <t>L000861</t>
  </si>
  <si>
    <t>L000862</t>
  </si>
  <si>
    <t>L000863</t>
  </si>
  <si>
    <t>L000864</t>
  </si>
  <si>
    <t>L000865</t>
  </si>
  <si>
    <t>L000866</t>
  </si>
  <si>
    <t>L000867</t>
  </si>
  <si>
    <t>L000868</t>
  </si>
  <si>
    <t>L000869</t>
  </si>
  <si>
    <t>L000870</t>
  </si>
  <si>
    <t>L000871</t>
  </si>
  <si>
    <t>L000872</t>
  </si>
  <si>
    <t>L000873</t>
  </si>
  <si>
    <t>L000874</t>
  </si>
  <si>
    <t>L000875</t>
  </si>
  <si>
    <t>L000876</t>
  </si>
  <si>
    <t>L000877</t>
  </si>
  <si>
    <t>L000878</t>
  </si>
  <si>
    <t>L000879</t>
  </si>
  <si>
    <t>L000880</t>
  </si>
  <si>
    <t>L000881</t>
  </si>
  <si>
    <t>L000882</t>
  </si>
  <si>
    <t>L000883</t>
  </si>
  <si>
    <t>L000884</t>
  </si>
  <si>
    <t>L000885</t>
  </si>
  <si>
    <t>L000886</t>
  </si>
  <si>
    <t>L000887</t>
  </si>
  <si>
    <t>L000888</t>
  </si>
  <si>
    <t>L000889</t>
  </si>
  <si>
    <t>L000890</t>
  </si>
  <si>
    <t>L000891</t>
  </si>
  <si>
    <t>L000892</t>
  </si>
  <si>
    <t>L000893</t>
  </si>
  <si>
    <t>L000894</t>
  </si>
  <si>
    <t>L000895</t>
  </si>
  <si>
    <t>L000896</t>
  </si>
  <si>
    <t>L000897</t>
  </si>
  <si>
    <t>L000898</t>
  </si>
  <si>
    <t>L000899</t>
  </si>
  <si>
    <t>L000900</t>
  </si>
  <si>
    <t>L000901</t>
  </si>
  <si>
    <t>L000902</t>
  </si>
  <si>
    <t>L000903</t>
  </si>
  <si>
    <t>L000904</t>
  </si>
  <si>
    <t>L000905</t>
  </si>
  <si>
    <t>L000906</t>
  </si>
  <si>
    <t>L000907</t>
  </si>
  <si>
    <t>L000908</t>
  </si>
  <si>
    <t>L000909</t>
  </si>
  <si>
    <t>L000910</t>
  </si>
  <si>
    <t>L000911</t>
  </si>
  <si>
    <t>L000912</t>
  </si>
  <si>
    <t>L000913</t>
  </si>
  <si>
    <t>L000914</t>
  </si>
  <si>
    <t>L000915</t>
  </si>
  <si>
    <t>L000916</t>
  </si>
  <si>
    <t>L000917</t>
  </si>
  <si>
    <t>L000918</t>
  </si>
  <si>
    <t>L000919</t>
  </si>
  <si>
    <t>L000920</t>
  </si>
  <si>
    <t>L000921</t>
  </si>
  <si>
    <t>L000922</t>
  </si>
  <si>
    <t>L000923</t>
  </si>
  <si>
    <t>L000924</t>
  </si>
  <si>
    <t>L000925</t>
  </si>
  <si>
    <t>L000926</t>
  </si>
  <si>
    <t>L000927</t>
  </si>
  <si>
    <t>L000928</t>
  </si>
  <si>
    <t>L000929</t>
  </si>
  <si>
    <t>L000930</t>
  </si>
  <si>
    <t>L000931</t>
  </si>
  <si>
    <t>L000932</t>
  </si>
  <si>
    <t>L000933</t>
  </si>
  <si>
    <t>L000934</t>
  </si>
  <si>
    <t>L000935</t>
  </si>
  <si>
    <t>L000936</t>
  </si>
  <si>
    <t>L000937</t>
  </si>
  <si>
    <t>L000938</t>
  </si>
  <si>
    <t>L000939</t>
  </si>
  <si>
    <t>L000940</t>
  </si>
  <si>
    <t>L000941</t>
  </si>
  <si>
    <t>L000942</t>
  </si>
  <si>
    <t>L000943</t>
  </si>
  <si>
    <t>L000944</t>
  </si>
  <si>
    <t>L000945</t>
  </si>
  <si>
    <t>L000946</t>
  </si>
  <si>
    <t>L000947</t>
  </si>
  <si>
    <t>L000948</t>
  </si>
  <si>
    <t>L000949</t>
  </si>
  <si>
    <t>L000950</t>
  </si>
  <si>
    <t>L000951</t>
  </si>
  <si>
    <t>L000952</t>
  </si>
  <si>
    <t>L000953</t>
  </si>
  <si>
    <t>L000954</t>
  </si>
  <si>
    <t>L000955</t>
  </si>
  <si>
    <t>L000956</t>
  </si>
  <si>
    <t>L000957</t>
  </si>
  <si>
    <t>L000958</t>
  </si>
  <si>
    <t>L000959</t>
  </si>
  <si>
    <t>L000960</t>
  </si>
  <si>
    <t>L000961</t>
  </si>
  <si>
    <t>L000962</t>
  </si>
  <si>
    <t>L000963</t>
  </si>
  <si>
    <t>L000964</t>
  </si>
  <si>
    <t>L000965</t>
  </si>
  <si>
    <t>Table</t>
  </si>
  <si>
    <t>Champ</t>
  </si>
  <si>
    <t>Description</t>
  </si>
  <si>
    <t>Exemple</t>
  </si>
  <si>
    <t>Clients</t>
  </si>
  <si>
    <t>Identifiant unique du client</t>
  </si>
  <si>
    <t>Type de client : Particulier, PME, Grand Compte</t>
  </si>
  <si>
    <t>Produits</t>
  </si>
  <si>
    <t>Prix de vente hors taxe</t>
  </si>
  <si>
    <t>89.00</t>
  </si>
  <si>
    <t>Coût estimé pour calculer la marge</t>
  </si>
  <si>
    <t>42.00</t>
  </si>
  <si>
    <t>Employes</t>
  </si>
  <si>
    <t>Objectif commercial mensuel</t>
  </si>
  <si>
    <t>25000</t>
  </si>
  <si>
    <t>Commandes</t>
  </si>
  <si>
    <t>État de la commande</t>
  </si>
  <si>
    <t>Total hors taxe de la commande, frais compris</t>
  </si>
  <si>
    <t>532.40</t>
  </si>
  <si>
    <t>Lignes_Commandes</t>
  </si>
  <si>
    <t>Nombre d’unités vendues</t>
  </si>
  <si>
    <t>3</t>
  </si>
  <si>
    <t>Remise appliquée à la ligne</t>
  </si>
  <si>
    <t>10%</t>
  </si>
  <si>
    <t>Chiffre d’affaires hors taxe de la ligne</t>
  </si>
  <si>
    <t>240.00</t>
  </si>
  <si>
    <t>Relations</t>
  </si>
  <si>
    <t>Commandes.ID_Client</t>
  </si>
  <si>
    <t>Clé étrangère vers Clients.ID_Client</t>
  </si>
  <si>
    <t>Commandes.ID_Employe</t>
  </si>
  <si>
    <t>Clé étrangère vers Employes.ID_Employe</t>
  </si>
  <si>
    <t>Lignes_Commandes.ID_Commande</t>
  </si>
  <si>
    <t>Clé étrangère vers Commandes.ID_Commande</t>
  </si>
  <si>
    <t>Lignes_Commandes.ID_Produit</t>
  </si>
  <si>
    <t>Clé étrangère vers Produits.ID_Produit</t>
  </si>
  <si>
    <t>Dashboard de contrôle - SalesInsight BI</t>
  </si>
  <si>
    <t>KPI</t>
  </si>
  <si>
    <t>Formule / Valeur</t>
  </si>
  <si>
    <t>Nombre de clients</t>
  </si>
  <si>
    <t>Nombre de produits</t>
  </si>
  <si>
    <t>Nombre de commandes</t>
  </si>
  <si>
    <t>CA livré HT</t>
  </si>
  <si>
    <t>Panier moyen livré HT</t>
  </si>
  <si>
    <t>Analyse mensuelle</t>
  </si>
  <si>
    <t>Chiffre d’affaires total</t>
  </si>
  <si>
    <t>Panier moyen</t>
  </si>
  <si>
    <t>Nombre de produits vendus</t>
  </si>
  <si>
    <r>
      <rPr>
        <b/>
        <sz val="22"/>
        <color theme="0"/>
        <rFont val="Calibri"/>
        <charset val="134"/>
        <scheme val="major"/>
      </rPr>
      <t xml:space="preserve">SalesInsight BI — Dashboard des ventes
</t>
    </r>
    <r>
      <rPr>
        <b/>
        <sz val="18"/>
        <color theme="0"/>
        <rFont val="Calibri"/>
        <charset val="134"/>
        <scheme val="major"/>
      </rPr>
      <t>Analyse des ventes 2024–2025</t>
    </r>
  </si>
  <si>
    <r>
      <rPr>
        <sz val="16"/>
        <rFont val="Carlito"/>
        <charset val="134"/>
      </rPr>
      <t xml:space="preserve">Chiffre d’affaires HT total </t>
    </r>
    <r>
      <rPr>
        <sz val="14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743 191,06 €
</t>
    </r>
    <r>
      <rPr>
        <sz val="14"/>
        <rFont val="Carlito"/>
        <charset val="134"/>
      </rPr>
      <t xml:space="preserve">
</t>
    </r>
  </si>
  <si>
    <r>
      <rPr>
        <sz val="16"/>
        <rFont val="Carlito"/>
        <charset val="134"/>
      </rPr>
      <t>Nombre de commandes</t>
    </r>
    <r>
      <rPr>
        <sz val="18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420
</t>
    </r>
    <r>
      <rPr>
        <sz val="18"/>
        <rFont val="Carlito"/>
        <charset val="134"/>
      </rPr>
      <t xml:space="preserve">
</t>
    </r>
  </si>
  <si>
    <r>
      <rPr>
        <sz val="16"/>
        <rFont val="Carlito"/>
        <charset val="134"/>
      </rPr>
      <t xml:space="preserve">Panier moyen HT </t>
    </r>
    <r>
      <rPr>
        <sz val="14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1 769,50 €
</t>
    </r>
  </si>
  <si>
    <r>
      <rPr>
        <sz val="16"/>
        <rFont val="Carlito"/>
        <charset val="134"/>
      </rPr>
      <t>Meilleur mois</t>
    </r>
    <r>
      <rPr>
        <sz val="14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 09-2025
</t>
    </r>
  </si>
  <si>
    <r>
      <rPr>
        <sz val="16"/>
        <rFont val="Carlito"/>
        <charset val="134"/>
      </rPr>
      <t>Meilleur canal</t>
    </r>
    <r>
      <rPr>
        <sz val="14"/>
        <rFont val="Carlito"/>
        <charset val="134"/>
      </rPr>
      <t xml:space="preserve">
</t>
    </r>
    <r>
      <rPr>
        <b/>
        <sz val="22"/>
        <rFont val="Carlito"/>
        <charset val="134"/>
      </rPr>
      <t xml:space="preserve">Téléphone
</t>
    </r>
  </si>
  <si>
    <r>
      <rPr>
        <u/>
        <sz val="16"/>
        <rFont val="Carlito"/>
        <charset val="134"/>
      </rPr>
      <t>CONCLUSION</t>
    </r>
    <r>
      <rPr>
        <sz val="16"/>
        <rFont val="Carlito"/>
        <charset val="134"/>
      </rPr>
      <t xml:space="preserve">
Le mois le plus performant est septembre 2025, avec un chiffre d’affaires HT de 27 449,06 €. Le canal Téléphone est le plus rentable avec 99 309,17 €, suivi par Magasin avec 97 589,59 €. Le canal Marketplace est le moins performant avec 83 680,31 €, ce qui peut représenter un axe d’amélioration commerciale.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</si>
</sst>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€&quot;#,##0.00;\-&quot;€&quot;#,##0.00"/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m/d/yyyy;@"/>
    <numFmt numFmtId="179" formatCode="#,##0.00\ &quot;€&quot;"/>
    <numFmt numFmtId="180" formatCode="&quot;€&quot;#,##0;[Red]&quot;€&quot;#,##0"/>
    <numFmt numFmtId="181" formatCode="mmm\ yyyy"/>
    <numFmt numFmtId="182" formatCode="yyyy\-mm\-dd"/>
  </numFmts>
  <fonts count="33">
    <font>
      <sz val="11"/>
      <name val="Carlito"/>
      <charset val="134"/>
    </font>
    <font>
      <b/>
      <sz val="22"/>
      <color theme="0"/>
      <name val="Calibri"/>
      <charset val="134"/>
      <scheme val="major"/>
    </font>
    <font>
      <sz val="14"/>
      <name val="Carlito"/>
      <charset val="134"/>
    </font>
    <font>
      <sz val="16"/>
      <name val="Carlito"/>
      <charset val="134"/>
    </font>
    <font>
      <sz val="18"/>
      <name val="Carlito"/>
      <charset val="134"/>
    </font>
    <font>
      <u/>
      <sz val="16"/>
      <name val="Carlito"/>
      <charset val="134"/>
    </font>
    <font>
      <b/>
      <sz val="11"/>
      <color rgb="FFFFFFFF"/>
      <name val="Carlito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2"/>
      <name val="Carlito"/>
      <charset val="134"/>
    </font>
    <font>
      <b/>
      <sz val="18"/>
      <color theme="0"/>
      <name val="Calibri"/>
      <charset val="134"/>
      <scheme val="major"/>
    </font>
  </fonts>
  <fills count="41">
    <fill>
      <patternFill patternType="none"/>
    </fill>
    <fill>
      <patternFill patternType="gray125"/>
    </fill>
    <fill>
      <patternFill patternType="solid">
        <fgColor theme="5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21" applyNumberFormat="0" applyAlignment="0" applyProtection="0">
      <alignment vertical="center"/>
    </xf>
    <xf numFmtId="0" fontId="21" fillId="12" borderId="22" applyNumberFormat="0" applyAlignment="0" applyProtection="0">
      <alignment vertical="center"/>
    </xf>
    <xf numFmtId="0" fontId="22" fillId="12" borderId="21" applyNumberFormat="0" applyAlignment="0" applyProtection="0">
      <alignment vertical="center"/>
    </xf>
    <xf numFmtId="0" fontId="23" fillId="13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/>
    <xf numFmtId="0" fontId="3" fillId="4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/>
    </xf>
    <xf numFmtId="0" fontId="2" fillId="3" borderId="0" xfId="0" applyFont="1" applyFill="1" applyAlignment="1"/>
    <xf numFmtId="0" fontId="4" fillId="4" borderId="5" xfId="0" applyFont="1" applyFill="1" applyBorder="1" applyAlignment="1">
      <alignment horizontal="center"/>
    </xf>
    <xf numFmtId="0" fontId="2" fillId="3" borderId="6" xfId="0" applyFont="1" applyFill="1" applyBorder="1" applyAlignment="1"/>
    <xf numFmtId="0" fontId="0" fillId="0" borderId="4" xfId="0" applyBorder="1"/>
    <xf numFmtId="0" fontId="0" fillId="0" borderId="6" xfId="0" applyBorder="1"/>
    <xf numFmtId="0" fontId="5" fillId="5" borderId="7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178" fontId="0" fillId="0" borderId="0" xfId="0" applyNumberFormat="1"/>
    <xf numFmtId="0" fontId="6" fillId="6" borderId="0" xfId="0" applyNumberFormat="1" applyFont="1" applyFill="1" applyBorder="1" applyAlignment="1">
      <alignment horizontal="center" vertical="center" wrapText="1"/>
    </xf>
    <xf numFmtId="178" fontId="6" fillId="6" borderId="0" xfId="0" applyNumberFormat="1" applyFont="1" applyFill="1" applyBorder="1" applyAlignment="1">
      <alignment horizontal="center" vertical="center" wrapText="1"/>
    </xf>
    <xf numFmtId="179" fontId="0" fillId="0" borderId="0" xfId="0" applyNumberFormat="1" applyFont="1" applyFill="1" applyBorder="1"/>
    <xf numFmtId="9" fontId="0" fillId="0" borderId="0" xfId="0" applyNumberFormat="1" applyFont="1" applyFill="1" applyBorder="1"/>
    <xf numFmtId="178" fontId="0" fillId="0" borderId="0" xfId="0" applyNumberFormat="1" applyFont="1" applyFill="1" applyBorder="1"/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80" fontId="7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7" fontId="7" fillId="0" borderId="5" xfId="0" applyNumberFormat="1" applyFont="1" applyBorder="1" applyAlignment="1">
      <alignment horizontal="center" vertical="center"/>
    </xf>
    <xf numFmtId="0" fontId="9" fillId="7" borderId="0" xfId="0" applyNumberFormat="1" applyFont="1" applyFill="1" applyBorder="1" applyAlignment="1">
      <alignment horizontal="center"/>
    </xf>
    <xf numFmtId="0" fontId="6" fillId="6" borderId="0" xfId="0" applyNumberFormat="1" applyFont="1" applyFill="1" applyBorder="1"/>
    <xf numFmtId="0" fontId="6" fillId="8" borderId="0" xfId="0" applyNumberFormat="1" applyFont="1" applyFill="1" applyBorder="1"/>
    <xf numFmtId="181" fontId="0" fillId="0" borderId="0" xfId="0" applyNumberFormat="1" applyFont="1" applyFill="1" applyBorder="1"/>
    <xf numFmtId="0" fontId="6" fillId="6" borderId="0" xfId="0" applyNumberFormat="1" applyFont="1" applyFill="1" applyBorder="1" applyAlignment="1">
      <alignment wrapText="1"/>
    </xf>
    <xf numFmtId="182" fontId="0" fillId="0" borderId="0" xfId="0" applyNumberFormat="1" applyFont="1" applyFill="1" applyBorder="1"/>
    <xf numFmtId="0" fontId="9" fillId="8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10" fillId="9" borderId="0" xfId="0" applyNumberFormat="1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8">
    <dxf>
      <font>
        <color rgb="FF9C0006"/>
      </font>
      <fill>
        <patternFill patternType="solid">
          <bgColor rgb="FFF8CBA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fr-F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 livré HT par mois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"CA livré HT"</c:f>
              <c:strCache>
                <c:ptCount val="1"/>
                <c:pt idx="0">
                  <c:v>CA livré HT</c:v>
                </c:pt>
              </c:strCache>
            </c:strRef>
          </c:tx>
          <c:dLbls>
            <c:delete val="1"/>
          </c:dLbls>
          <c:cat>
            <c:numRef>
              <c:f>Dashboard_Base!$A$12:$A$35</c:f>
              <c:numCache>
                <c:formatCode>mmm\ yyyy</c:formatCode>
                <c:ptCount val="24"/>
                <c:pt idx="0" c:formatCode="mmm\ yyyy">
                  <c:v>45292</c:v>
                </c:pt>
                <c:pt idx="1" c:formatCode="mmm\ yyyy">
                  <c:v>45323</c:v>
                </c:pt>
                <c:pt idx="2" c:formatCode="mmm\ yyyy">
                  <c:v>45352</c:v>
                </c:pt>
                <c:pt idx="3" c:formatCode="mmm\ yyyy">
                  <c:v>45383</c:v>
                </c:pt>
                <c:pt idx="4" c:formatCode="mmm\ yyyy">
                  <c:v>45413</c:v>
                </c:pt>
                <c:pt idx="5" c:formatCode="mmm\ yyyy">
                  <c:v>45444</c:v>
                </c:pt>
                <c:pt idx="6" c:formatCode="mmm\ yyyy">
                  <c:v>45474</c:v>
                </c:pt>
                <c:pt idx="7" c:formatCode="mmm\ yyyy">
                  <c:v>45505</c:v>
                </c:pt>
                <c:pt idx="8" c:formatCode="mmm\ yyyy">
                  <c:v>45536</c:v>
                </c:pt>
                <c:pt idx="9" c:formatCode="mmm\ yyyy">
                  <c:v>45566</c:v>
                </c:pt>
                <c:pt idx="10" c:formatCode="mmm\ yyyy">
                  <c:v>45597</c:v>
                </c:pt>
                <c:pt idx="11" c:formatCode="mmm\ yyyy">
                  <c:v>45627</c:v>
                </c:pt>
                <c:pt idx="12" c:formatCode="mmm\ yyyy">
                  <c:v>45658</c:v>
                </c:pt>
                <c:pt idx="13" c:formatCode="mmm\ yyyy">
                  <c:v>45689</c:v>
                </c:pt>
                <c:pt idx="14" c:formatCode="mmm\ yyyy">
                  <c:v>45717</c:v>
                </c:pt>
                <c:pt idx="15" c:formatCode="mmm\ yyyy">
                  <c:v>45748</c:v>
                </c:pt>
                <c:pt idx="16" c:formatCode="mmm\ yyyy">
                  <c:v>45778</c:v>
                </c:pt>
                <c:pt idx="17" c:formatCode="mmm\ yyyy">
                  <c:v>45809</c:v>
                </c:pt>
                <c:pt idx="18" c:formatCode="mmm\ yyyy">
                  <c:v>45839</c:v>
                </c:pt>
                <c:pt idx="19" c:formatCode="mmm\ yyyy">
                  <c:v>45870</c:v>
                </c:pt>
                <c:pt idx="20" c:formatCode="mmm\ yyyy">
                  <c:v>45901</c:v>
                </c:pt>
                <c:pt idx="21" c:formatCode="mmm\ yyyy">
                  <c:v>45931</c:v>
                </c:pt>
                <c:pt idx="22" c:formatCode="mmm\ yyyy">
                  <c:v>45962</c:v>
                </c:pt>
                <c:pt idx="23" c:formatCode="mmm\ yyyy">
                  <c:v>45992</c:v>
                </c:pt>
              </c:numCache>
            </c:numRef>
          </c:cat>
          <c:val>
            <c:numRef>
              <c:f>Dashboard_Base!$B$12:$B$35</c:f>
              <c:numCache>
                <c:formatCode>#,##0.00\ "€"</c:formatCode>
                <c:ptCount val="24"/>
                <c:pt idx="0">
                  <c:v>14186.26</c:v>
                </c:pt>
                <c:pt idx="1">
                  <c:v>19635.38</c:v>
                </c:pt>
                <c:pt idx="2">
                  <c:v>11714.22</c:v>
                </c:pt>
                <c:pt idx="3">
                  <c:v>4913.94</c:v>
                </c:pt>
                <c:pt idx="4">
                  <c:v>16102.83</c:v>
                </c:pt>
                <c:pt idx="5">
                  <c:v>15460.7</c:v>
                </c:pt>
                <c:pt idx="6">
                  <c:v>13255.92</c:v>
                </c:pt>
                <c:pt idx="7">
                  <c:v>8491.38</c:v>
                </c:pt>
                <c:pt idx="8">
                  <c:v>8175.66</c:v>
                </c:pt>
                <c:pt idx="9">
                  <c:v>10064.77</c:v>
                </c:pt>
                <c:pt idx="10">
                  <c:v>16852.3</c:v>
                </c:pt>
                <c:pt idx="11">
                  <c:v>15951.51</c:v>
                </c:pt>
                <c:pt idx="12">
                  <c:v>16945.2</c:v>
                </c:pt>
                <c:pt idx="13">
                  <c:v>7303.07</c:v>
                </c:pt>
                <c:pt idx="14">
                  <c:v>11528.94</c:v>
                </c:pt>
                <c:pt idx="15">
                  <c:v>17147.6</c:v>
                </c:pt>
                <c:pt idx="16">
                  <c:v>22431.28</c:v>
                </c:pt>
                <c:pt idx="17">
                  <c:v>8330.62</c:v>
                </c:pt>
                <c:pt idx="18">
                  <c:v>12031.3</c:v>
                </c:pt>
                <c:pt idx="19">
                  <c:v>13326.5</c:v>
                </c:pt>
                <c:pt idx="20">
                  <c:v>26207.07</c:v>
                </c:pt>
                <c:pt idx="21">
                  <c:v>17992.69</c:v>
                </c:pt>
                <c:pt idx="22">
                  <c:v>11587.53</c:v>
                </c:pt>
                <c:pt idx="23">
                  <c:v>10774.14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.00\ &quot;€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14ec0e7-2916-42f2-955d-94c8d525b00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[SalesInsight_BI_Base_Entreprise.xlsx]Feuille13!Tableau croisé 
dynamique2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sz="2000" b="1"/>
              <a:t>Top des mois par chiffre affaires HT</a:t>
            </a:r>
            <a:endParaRPr sz="2000" b="1"/>
          </a:p>
        </c:rich>
      </c:tx>
      <c:layout>
        <c:manualLayout>
          <c:xMode val="edge"/>
          <c:yMode val="edge"/>
          <c:x val="0.199577991878334"/>
          <c:y val="0.02632561613144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6659088236323"/>
          <c:y val="0.186970837253057"/>
          <c:w val="0.918599082327859"/>
          <c:h val="0.5116180620884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Feuille13!$F$25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Feuille13!$E$26:$E$50</c:f>
              <c:strCache>
                <c:ptCount val="24"/>
                <c:pt idx="0">
                  <c:v>09-2025</c:v>
                </c:pt>
                <c:pt idx="1">
                  <c:v>05-2025</c:v>
                </c:pt>
                <c:pt idx="2">
                  <c:v>01-2025</c:v>
                </c:pt>
                <c:pt idx="3">
                  <c:v>06-2024</c:v>
                </c:pt>
                <c:pt idx="4">
                  <c:v>10-2025</c:v>
                </c:pt>
                <c:pt idx="5">
                  <c:v>02-2024</c:v>
                </c:pt>
                <c:pt idx="6">
                  <c:v>11-2024</c:v>
                </c:pt>
                <c:pt idx="7">
                  <c:v>12-2024</c:v>
                </c:pt>
                <c:pt idx="8">
                  <c:v>04-2025</c:v>
                </c:pt>
                <c:pt idx="9">
                  <c:v>03-2025</c:v>
                </c:pt>
                <c:pt idx="10">
                  <c:v>05-2024</c:v>
                </c:pt>
                <c:pt idx="11">
                  <c:v>07-2025</c:v>
                </c:pt>
                <c:pt idx="12">
                  <c:v>01-2024</c:v>
                </c:pt>
                <c:pt idx="13">
                  <c:v>08-2025</c:v>
                </c:pt>
                <c:pt idx="14">
                  <c:v>12-2025</c:v>
                </c:pt>
                <c:pt idx="15">
                  <c:v>07-2024</c:v>
                </c:pt>
                <c:pt idx="16">
                  <c:v>11-2025</c:v>
                </c:pt>
                <c:pt idx="17">
                  <c:v>03-2024</c:v>
                </c:pt>
                <c:pt idx="18">
                  <c:v>10-2024</c:v>
                </c:pt>
                <c:pt idx="19">
                  <c:v>06-2025</c:v>
                </c:pt>
                <c:pt idx="20">
                  <c:v>08-2024</c:v>
                </c:pt>
                <c:pt idx="21">
                  <c:v>09-2024</c:v>
                </c:pt>
                <c:pt idx="22">
                  <c:v>02-2025</c:v>
                </c:pt>
                <c:pt idx="23">
                  <c:v>04-2024</c:v>
                </c:pt>
              </c:strCache>
            </c:strRef>
          </c:cat>
          <c:val>
            <c:numRef>
              <c:f>Feuille13!$F$26:$F$50</c:f>
              <c:numCache>
                <c:formatCode>General</c:formatCode>
                <c:ptCount val="24"/>
                <c:pt idx="0">
                  <c:v>27449.06</c:v>
                </c:pt>
                <c:pt idx="1">
                  <c:v>22431.28</c:v>
                </c:pt>
                <c:pt idx="2">
                  <c:v>21157.72</c:v>
                </c:pt>
                <c:pt idx="3">
                  <c:v>19776.33</c:v>
                </c:pt>
                <c:pt idx="4">
                  <c:v>19723.36</c:v>
                </c:pt>
                <c:pt idx="5">
                  <c:v>19635.38</c:v>
                </c:pt>
                <c:pt idx="6">
                  <c:v>19557.24</c:v>
                </c:pt>
                <c:pt idx="7">
                  <c:v>18742.62</c:v>
                </c:pt>
                <c:pt idx="8">
                  <c:v>17147.6</c:v>
                </c:pt>
                <c:pt idx="9">
                  <c:v>16764.52</c:v>
                </c:pt>
                <c:pt idx="10">
                  <c:v>16102.83</c:v>
                </c:pt>
                <c:pt idx="11">
                  <c:v>15420.11</c:v>
                </c:pt>
                <c:pt idx="12">
                  <c:v>15307.28</c:v>
                </c:pt>
                <c:pt idx="13">
                  <c:v>15108.52</c:v>
                </c:pt>
                <c:pt idx="14">
                  <c:v>14920.69</c:v>
                </c:pt>
                <c:pt idx="15">
                  <c:v>13438.21</c:v>
                </c:pt>
                <c:pt idx="16">
                  <c:v>13350.98</c:v>
                </c:pt>
                <c:pt idx="17">
                  <c:v>11714.22</c:v>
                </c:pt>
                <c:pt idx="18">
                  <c:v>11619.16</c:v>
                </c:pt>
                <c:pt idx="19">
                  <c:v>10304.42</c:v>
                </c:pt>
                <c:pt idx="20">
                  <c:v>10244.68</c:v>
                </c:pt>
                <c:pt idx="21">
                  <c:v>8175.66</c:v>
                </c:pt>
                <c:pt idx="22">
                  <c:v>7372.46</c:v>
                </c:pt>
                <c:pt idx="23">
                  <c:v>6131.2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0"/>
        <c:overlap val="-32"/>
        <c:axId val="141617975"/>
        <c:axId val="538165523"/>
      </c:barChart>
      <c:catAx>
        <c:axId val="141617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38165523"/>
        <c:crosses val="autoZero"/>
        <c:auto val="1"/>
        <c:lblAlgn val="ctr"/>
        <c:lblOffset val="100"/>
        <c:noMultiLvlLbl val="0"/>
      </c:catAx>
      <c:valAx>
        <c:axId val="538165523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41617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816212c-eac9-46c2-871a-c57d3e441088}"/>
      </c:ext>
    </c:extLst>
  </c:chart>
  <c:spPr>
    <a:solidFill>
      <a:schemeClr val="bg1">
        <a:alpha val="88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[SalesInsight_BI_Base_Entreprise.xlsx]Feuille13!Tableau croisé 
dynamique3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fr-F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Chiffre d’affaires HT par canal de vente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Feuille13!$B$3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F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Feuille13!$A$4:$A$8</c:f>
              <c:strCache>
                <c:ptCount val="4"/>
                <c:pt idx="0">
                  <c:v>Magasin</c:v>
                </c:pt>
                <c:pt idx="1">
                  <c:v>Marketplace</c:v>
                </c:pt>
                <c:pt idx="2">
                  <c:v>Téléphone</c:v>
                </c:pt>
                <c:pt idx="3">
                  <c:v>Web</c:v>
                </c:pt>
              </c:strCache>
            </c:strRef>
          </c:cat>
          <c:val>
            <c:numRef>
              <c:f>Feuille13!$B$4:$B$8</c:f>
              <c:numCache>
                <c:formatCode>General</c:formatCode>
                <c:ptCount val="4"/>
                <c:pt idx="0">
                  <c:v>97589.59</c:v>
                </c:pt>
                <c:pt idx="1">
                  <c:v>83680.31</c:v>
                </c:pt>
                <c:pt idx="2">
                  <c:v>99309.1699999999</c:v>
                </c:pt>
                <c:pt idx="3">
                  <c:v>91016.46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87726876"/>
        <c:axId val="988583312"/>
      </c:barChart>
      <c:catAx>
        <c:axId val="2877268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583312"/>
        <c:crosses val="autoZero"/>
        <c:auto val="1"/>
        <c:lblAlgn val="ctr"/>
        <c:lblOffset val="100"/>
        <c:noMultiLvlLbl val="0"/>
      </c:catAx>
      <c:valAx>
        <c:axId val="98858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7268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3abb3d0-2ffd-4431-81f4-24aa8031f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4953000" y="431800"/>
        <a:ext cx="617220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6</xdr:row>
      <xdr:rowOff>177165</xdr:rowOff>
    </xdr:from>
    <xdr:to>
      <xdr:col>12</xdr:col>
      <xdr:colOff>525780</xdr:colOff>
      <xdr:row>33</xdr:row>
      <xdr:rowOff>69850</xdr:rowOff>
    </xdr:to>
    <xdr:graphicFrame>
      <xdr:nvGraphicFramePr>
        <xdr:cNvPr id="2" name="Graphique 1" descr="7b0a202020202263686172745265734964223a202234363130333534220a7d0a"/>
        <xdr:cNvGraphicFramePr/>
      </xdr:nvGraphicFramePr>
      <xdr:xfrm>
        <a:off x="6350" y="2005965"/>
        <a:ext cx="8444230" cy="4693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409575</xdr:colOff>
      <xdr:row>9</xdr:row>
      <xdr:rowOff>119380</xdr:rowOff>
    </xdr:from>
    <xdr:to>
      <xdr:col>25</xdr:col>
      <xdr:colOff>527050</xdr:colOff>
      <xdr:row>29</xdr:row>
      <xdr:rowOff>64770</xdr:rowOff>
    </xdr:to>
    <xdr:graphicFrame>
      <xdr:nvGraphicFramePr>
        <xdr:cNvPr id="3" name="Graphique 2"/>
        <xdr:cNvGraphicFramePr/>
      </xdr:nvGraphicFramePr>
      <xdr:xfrm>
        <a:off x="8994775" y="2481580"/>
        <a:ext cx="8174990" cy="3501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2.6802083333" refreshedBy="Nguye" recordCount="420">
  <cacheSource type="worksheet">
    <worksheetSource ref="A1:K421" sheet="Commandes"/>
  </cacheSource>
  <cacheFields count="11">
    <cacheField name="ID_Commande" numFmtId="0">
      <sharedItems count="420">
        <s v="CMD00001"/>
        <s v="CMD00002"/>
        <s v="CMD00003"/>
        <s v="CMD00004"/>
        <s v="CMD00005"/>
        <s v="CMD00006"/>
        <s v="CMD00007"/>
        <s v="CMD00008"/>
        <s v="CMD00009"/>
        <s v="CMD00010"/>
        <s v="CMD00011"/>
        <s v="CMD00012"/>
        <s v="CMD00013"/>
        <s v="CMD00014"/>
        <s v="CMD00015"/>
        <s v="CMD00016"/>
        <s v="CMD00017"/>
        <s v="CMD00018"/>
        <s v="CMD00019"/>
        <s v="CMD00020"/>
        <s v="CMD00021"/>
        <s v="CMD00022"/>
        <s v="CMD00023"/>
        <s v="CMD00024"/>
        <s v="CMD00025"/>
        <s v="CMD00026"/>
        <s v="CMD00027"/>
        <s v="CMD00028"/>
        <s v="CMD00029"/>
        <s v="CMD00030"/>
        <s v="CMD00031"/>
        <s v="CMD00032"/>
        <s v="CMD00033"/>
        <s v="CMD00034"/>
        <s v="CMD00035"/>
        <s v="CMD00036"/>
        <s v="CMD00037"/>
        <s v="CMD00038"/>
        <s v="CMD00039"/>
        <s v="CMD00040"/>
        <s v="CMD00041"/>
        <s v="CMD00042"/>
        <s v="CMD00043"/>
        <s v="CMD00044"/>
        <s v="CMD00045"/>
        <s v="CMD00046"/>
        <s v="CMD00047"/>
        <s v="CMD00048"/>
        <s v="CMD00049"/>
        <s v="CMD00050"/>
        <s v="CMD00051"/>
        <s v="CMD00052"/>
        <s v="CMD00053"/>
        <s v="CMD00054"/>
        <s v="CMD00055"/>
        <s v="CMD00056"/>
        <s v="CMD00057"/>
        <s v="CMD00058"/>
        <s v="CMD00059"/>
        <s v="CMD00060"/>
        <s v="CMD00061"/>
        <s v="CMD00062"/>
        <s v="CMD00063"/>
        <s v="CMD00064"/>
        <s v="CMD00065"/>
        <s v="CMD00066"/>
        <s v="CMD00067"/>
        <s v="CMD00068"/>
        <s v="CMD00069"/>
        <s v="CMD00070"/>
        <s v="CMD00071"/>
        <s v="CMD00072"/>
        <s v="CMD00073"/>
        <s v="CMD00074"/>
        <s v="CMD00075"/>
        <s v="CMD00076"/>
        <s v="CMD00077"/>
        <s v="CMD00078"/>
        <s v="CMD00079"/>
        <s v="CMD00080"/>
        <s v="CMD00081"/>
        <s v="CMD00082"/>
        <s v="CMD00083"/>
        <s v="CMD00084"/>
        <s v="CMD00085"/>
        <s v="CMD00086"/>
        <s v="CMD00087"/>
        <s v="CMD00088"/>
        <s v="CMD00089"/>
        <s v="CMD00090"/>
        <s v="CMD00091"/>
        <s v="CMD00092"/>
        <s v="CMD00093"/>
        <s v="CMD00094"/>
        <s v="CMD00095"/>
        <s v="CMD00096"/>
        <s v="CMD00097"/>
        <s v="CMD00098"/>
        <s v="CMD00099"/>
        <s v="CMD00100"/>
        <s v="CMD00101"/>
        <s v="CMD00102"/>
        <s v="CMD00103"/>
        <s v="CMD00104"/>
        <s v="CMD00105"/>
        <s v="CMD00106"/>
        <s v="CMD00107"/>
        <s v="CMD00108"/>
        <s v="CMD00109"/>
        <s v="CMD00110"/>
        <s v="CMD00111"/>
        <s v="CMD00112"/>
        <s v="CMD00113"/>
        <s v="CMD00114"/>
        <s v="CMD00115"/>
        <s v="CMD00116"/>
        <s v="CMD00117"/>
        <s v="CMD00118"/>
        <s v="CMD00119"/>
        <s v="CMD00120"/>
        <s v="CMD00121"/>
        <s v="CMD00122"/>
        <s v="CMD00123"/>
        <s v="CMD00124"/>
        <s v="CMD00125"/>
        <s v="CMD00126"/>
        <s v="CMD00127"/>
        <s v="CMD00128"/>
        <s v="CMD00129"/>
        <s v="CMD00130"/>
        <s v="CMD00131"/>
        <s v="CMD00132"/>
        <s v="CMD00133"/>
        <s v="CMD00134"/>
        <s v="CMD00135"/>
        <s v="CMD00136"/>
        <s v="CMD00137"/>
        <s v="CMD00138"/>
        <s v="CMD00139"/>
        <s v="CMD00140"/>
        <s v="CMD00141"/>
        <s v="CMD00142"/>
        <s v="CMD00143"/>
        <s v="CMD00144"/>
        <s v="CMD00145"/>
        <s v="CMD00146"/>
        <s v="CMD00147"/>
        <s v="CMD00148"/>
        <s v="CMD00149"/>
        <s v="CMD00150"/>
        <s v="CMD00151"/>
        <s v="CMD00152"/>
        <s v="CMD00153"/>
        <s v="CMD00154"/>
        <s v="CMD00155"/>
        <s v="CMD00156"/>
        <s v="CMD00157"/>
        <s v="CMD00158"/>
        <s v="CMD00159"/>
        <s v="CMD00160"/>
        <s v="CMD00161"/>
        <s v="CMD00162"/>
        <s v="CMD00163"/>
        <s v="CMD00164"/>
        <s v="CMD00165"/>
        <s v="CMD00166"/>
        <s v="CMD00167"/>
        <s v="CMD00168"/>
        <s v="CMD00169"/>
        <s v="CMD00170"/>
        <s v="CMD00171"/>
        <s v="CMD00172"/>
        <s v="CMD00173"/>
        <s v="CMD00174"/>
        <s v="CMD00175"/>
        <s v="CMD00176"/>
        <s v="CMD00177"/>
        <s v="CMD00178"/>
        <s v="CMD00179"/>
        <s v="CMD00180"/>
        <s v="CMD00181"/>
        <s v="CMD00182"/>
        <s v="CMD00183"/>
        <s v="CMD00184"/>
        <s v="CMD00185"/>
        <s v="CMD00186"/>
        <s v="CMD00187"/>
        <s v="CMD00188"/>
        <s v="CMD00189"/>
        <s v="CMD00190"/>
        <s v="CMD00191"/>
        <s v="CMD00192"/>
        <s v="CMD00193"/>
        <s v="CMD00194"/>
        <s v="CMD00195"/>
        <s v="CMD00196"/>
        <s v="CMD00197"/>
        <s v="CMD00198"/>
        <s v="CMD00199"/>
        <s v="CMD00200"/>
        <s v="CMD00201"/>
        <s v="CMD00202"/>
        <s v="CMD00203"/>
        <s v="CMD00204"/>
        <s v="CMD00205"/>
        <s v="CMD00206"/>
        <s v="CMD00207"/>
        <s v="CMD00208"/>
        <s v="CMD00209"/>
        <s v="CMD00210"/>
        <s v="CMD00211"/>
        <s v="CMD00212"/>
        <s v="CMD00213"/>
        <s v="CMD00214"/>
        <s v="CMD00215"/>
        <s v="CMD00216"/>
        <s v="CMD00217"/>
        <s v="CMD00218"/>
        <s v="CMD00219"/>
        <s v="CMD00220"/>
        <s v="CMD00221"/>
        <s v="CMD00222"/>
        <s v="CMD00223"/>
        <s v="CMD00224"/>
        <s v="CMD00225"/>
        <s v="CMD00226"/>
        <s v="CMD00227"/>
        <s v="CMD00228"/>
        <s v="CMD00229"/>
        <s v="CMD00230"/>
        <s v="CMD00231"/>
        <s v="CMD00232"/>
        <s v="CMD00233"/>
        <s v="CMD00234"/>
        <s v="CMD00235"/>
        <s v="CMD00236"/>
        <s v="CMD00237"/>
        <s v="CMD00238"/>
        <s v="CMD00239"/>
        <s v="CMD00240"/>
        <s v="CMD00241"/>
        <s v="CMD00242"/>
        <s v="CMD00243"/>
        <s v="CMD00244"/>
        <s v="CMD00245"/>
        <s v="CMD00246"/>
        <s v="CMD00247"/>
        <s v="CMD00248"/>
        <s v="CMD00249"/>
        <s v="CMD00250"/>
        <s v="CMD00251"/>
        <s v="CMD00252"/>
        <s v="CMD00253"/>
        <s v="CMD00254"/>
        <s v="CMD00255"/>
        <s v="CMD00256"/>
        <s v="CMD00257"/>
        <s v="CMD00258"/>
        <s v="CMD00259"/>
        <s v="CMD00260"/>
        <s v="CMD00261"/>
        <s v="CMD00262"/>
        <s v="CMD00263"/>
        <s v="CMD00264"/>
        <s v="CMD00265"/>
        <s v="CMD00266"/>
        <s v="CMD00267"/>
        <s v="CMD00268"/>
        <s v="CMD00269"/>
        <s v="CMD00270"/>
        <s v="CMD00271"/>
        <s v="CMD00272"/>
        <s v="CMD00273"/>
        <s v="CMD00274"/>
        <s v="CMD00275"/>
        <s v="CMD00276"/>
        <s v="CMD00277"/>
        <s v="CMD00278"/>
        <s v="CMD00279"/>
        <s v="CMD00280"/>
        <s v="CMD00281"/>
        <s v="CMD00282"/>
        <s v="CMD00283"/>
        <s v="CMD00284"/>
        <s v="CMD00285"/>
        <s v="CMD00286"/>
        <s v="CMD00287"/>
        <s v="CMD00288"/>
        <s v="CMD00289"/>
        <s v="CMD00290"/>
        <s v="CMD00291"/>
        <s v="CMD00292"/>
        <s v="CMD00293"/>
        <s v="CMD00294"/>
        <s v="CMD00295"/>
        <s v="CMD00296"/>
        <s v="CMD00297"/>
        <s v="CMD00298"/>
        <s v="CMD00299"/>
        <s v="CMD00300"/>
        <s v="CMD00301"/>
        <s v="CMD00302"/>
        <s v="CMD00303"/>
        <s v="CMD00304"/>
        <s v="CMD00305"/>
        <s v="CMD00306"/>
        <s v="CMD00307"/>
        <s v="CMD00308"/>
        <s v="CMD00309"/>
        <s v="CMD00310"/>
        <s v="CMD00311"/>
        <s v="CMD00312"/>
        <s v="CMD00313"/>
        <s v="CMD00314"/>
        <s v="CMD00315"/>
        <s v="CMD00316"/>
        <s v="CMD00317"/>
        <s v="CMD00318"/>
        <s v="CMD00319"/>
        <s v="CMD00320"/>
        <s v="CMD00321"/>
        <s v="CMD00322"/>
        <s v="CMD00323"/>
        <s v="CMD00324"/>
        <s v="CMD00325"/>
        <s v="CMD00326"/>
        <s v="CMD00327"/>
        <s v="CMD00328"/>
        <s v="CMD00329"/>
        <s v="CMD00330"/>
        <s v="CMD00331"/>
        <s v="CMD00332"/>
        <s v="CMD00333"/>
        <s v="CMD00334"/>
        <s v="CMD00335"/>
        <s v="CMD00336"/>
        <s v="CMD00337"/>
        <s v="CMD00338"/>
        <s v="CMD00339"/>
        <s v="CMD00340"/>
        <s v="CMD00341"/>
        <s v="CMD00342"/>
        <s v="CMD00343"/>
        <s v="CMD00344"/>
        <s v="CMD00345"/>
        <s v="CMD00346"/>
        <s v="CMD00347"/>
        <s v="CMD00348"/>
        <s v="CMD00349"/>
        <s v="CMD00350"/>
        <s v="CMD00351"/>
        <s v="CMD00352"/>
        <s v="CMD00353"/>
        <s v="CMD00354"/>
        <s v="CMD00355"/>
        <s v="CMD00356"/>
        <s v="CMD00357"/>
        <s v="CMD00358"/>
        <s v="CMD00359"/>
        <s v="CMD00360"/>
        <s v="CMD00361"/>
        <s v="CMD00362"/>
        <s v="CMD00363"/>
        <s v="CMD00364"/>
        <s v="CMD00365"/>
        <s v="CMD00366"/>
        <s v="CMD00367"/>
        <s v="CMD00368"/>
        <s v="CMD00369"/>
        <s v="CMD00370"/>
        <s v="CMD00371"/>
        <s v="CMD00372"/>
        <s v="CMD00373"/>
        <s v="CMD00374"/>
        <s v="CMD00375"/>
        <s v="CMD00376"/>
        <s v="CMD00377"/>
        <s v="CMD00378"/>
        <s v="CMD00379"/>
        <s v="CMD00380"/>
        <s v="CMD00381"/>
        <s v="CMD00382"/>
        <s v="CMD00383"/>
        <s v="CMD00384"/>
        <s v="CMD00385"/>
        <s v="CMD00386"/>
        <s v="CMD00387"/>
        <s v="CMD00388"/>
        <s v="CMD00389"/>
        <s v="CMD00390"/>
        <s v="CMD00391"/>
        <s v="CMD00392"/>
        <s v="CMD00393"/>
        <s v="CMD00394"/>
        <s v="CMD00395"/>
        <s v="CMD00396"/>
        <s v="CMD00397"/>
        <s v="CMD00398"/>
        <s v="CMD00399"/>
        <s v="CMD00400"/>
        <s v="CMD00401"/>
        <s v="CMD00402"/>
        <s v="CMD00403"/>
        <s v="CMD00404"/>
        <s v="CMD00405"/>
        <s v="CMD00406"/>
        <s v="CMD00407"/>
        <s v="CMD00408"/>
        <s v="CMD00409"/>
        <s v="CMD00410"/>
        <s v="CMD00411"/>
        <s v="CMD00412"/>
        <s v="CMD00413"/>
        <s v="CMD00414"/>
        <s v="CMD00415"/>
        <s v="CMD00416"/>
        <s v="CMD00417"/>
        <s v="CMD00418"/>
        <s v="CMD00419"/>
        <s v="CMD00420"/>
      </sharedItems>
    </cacheField>
    <cacheField name="Date_Commande" numFmtId="182">
      <sharedItems containsSemiMixedTypes="0" containsString="0" containsNonDate="0" containsDate="1" minDate="2024-01-01T00:00:00" maxDate="2025-12-30T00:00:00" count="303">
        <d v="2025-10-13T00:00:00"/>
        <d v="2024-07-24T00:00:00"/>
        <d v="2024-12-12T00:00:00"/>
        <d v="2025-11-19T00:00:00"/>
        <d v="2025-12-18T00:00:00"/>
        <d v="2025-11-01T00:00:00"/>
        <d v="2025-01-02T00:00:00"/>
        <d v="2024-01-22T00:00:00"/>
        <d v="2024-05-13T00:00:00"/>
        <d v="2024-06-27T00:00:00"/>
        <d v="2025-09-21T00:00:00"/>
        <d v="2025-07-15T00:00:00"/>
        <d v="2025-07-18T00:00:00"/>
        <d v="2025-11-12T00:00:00"/>
        <d v="2025-01-16T00:00:00"/>
        <d v="2025-09-06T00:00:00"/>
        <d v="2025-07-28T00:00:00"/>
        <d v="2024-12-25T00:00:00"/>
        <d v="2025-06-27T00:00:00"/>
        <d v="2024-06-08T00:00:00"/>
        <d v="2024-10-17T00:00:00"/>
        <d v="2024-11-04T00:00:00"/>
        <d v="2025-07-26T00:00:00"/>
        <d v="2025-03-15T00:00:00"/>
        <d v="2024-12-13T00:00:00"/>
        <d v="2024-03-18T00:00:00"/>
        <d v="2024-11-13T00:00:00"/>
        <d v="2024-02-12T00:00:00"/>
        <d v="2025-09-09T00:00:00"/>
        <d v="2024-07-15T00:00:00"/>
        <d v="2025-03-24T00:00:00"/>
        <d v="2025-04-25T00:00:00"/>
        <d v="2024-02-23T00:00:00"/>
        <d v="2025-06-09T00:00:00"/>
        <d v="2025-10-27T00:00:00"/>
        <d v="2025-09-15T00:00:00"/>
        <d v="2025-04-13T00:00:00"/>
        <d v="2025-06-20T00:00:00"/>
        <d v="2024-09-03T00:00:00"/>
        <d v="2024-03-05T00:00:00"/>
        <d v="2025-11-02T00:00:00"/>
        <d v="2025-03-10T00:00:00"/>
        <d v="2024-10-08T00:00:00"/>
        <d v="2025-01-15T00:00:00"/>
        <d v="2025-01-31T00:00:00"/>
        <d v="2024-07-23T00:00:00"/>
        <d v="2025-12-27T00:00:00"/>
        <d v="2024-05-12T00:00:00"/>
        <d v="2024-11-26T00:00:00"/>
        <d v="2024-05-08T00:00:00"/>
        <d v="2024-12-11T00:00:00"/>
        <d v="2025-10-28T00:00:00"/>
        <d v="2025-03-01T00:00:00"/>
        <d v="2025-04-05T00:00:00"/>
        <d v="2024-11-16T00:00:00"/>
        <d v="2025-10-31T00:00:00"/>
        <d v="2025-01-09T00:00:00"/>
        <d v="2025-11-27T00:00:00"/>
        <d v="2024-02-16T00:00:00"/>
        <d v="2024-11-02T00:00:00"/>
        <d v="2025-04-30T00:00:00"/>
        <d v="2024-02-02T00:00:00"/>
        <d v="2025-09-18T00:00:00"/>
        <d v="2025-09-16T00:00:00"/>
        <d v="2025-08-10T00:00:00"/>
        <d v="2024-10-05T00:00:00"/>
        <d v="2024-04-12T00:00:00"/>
        <d v="2025-10-29T00:00:00"/>
        <d v="2025-08-04T00:00:00"/>
        <d v="2024-11-27T00:00:00"/>
        <d v="2025-11-14T00:00:00"/>
        <d v="2024-06-05T00:00:00"/>
        <d v="2024-04-24T00:00:00"/>
        <d v="2024-04-03T00:00:00"/>
        <d v="2024-01-23T00:00:00"/>
        <d v="2024-08-16T00:00:00"/>
        <d v="2024-04-25T00:00:00"/>
        <d v="2025-02-15T00:00:00"/>
        <d v="2025-11-26T00:00:00"/>
        <d v="2024-08-18T00:00:00"/>
        <d v="2024-03-15T00:00:00"/>
        <d v="2025-01-24T00:00:00"/>
        <d v="2024-09-08T00:00:00"/>
        <d v="2024-07-07T00:00:00"/>
        <d v="2025-01-17T00:00:00"/>
        <d v="2024-01-18T00:00:00"/>
        <d v="2024-09-30T00:00:00"/>
        <d v="2025-08-02T00:00:00"/>
        <d v="2025-07-10T00:00:00"/>
        <d v="2024-05-23T00:00:00"/>
        <d v="2025-05-17T00:00:00"/>
        <d v="2024-06-06T00:00:00"/>
        <d v="2024-04-01T00:00:00"/>
        <d v="2024-06-20T00:00:00"/>
        <d v="2025-08-31T00:00:00"/>
        <d v="2025-03-16T00:00:00"/>
        <d v="2024-01-26T00:00:00"/>
        <d v="2024-04-09T00:00:00"/>
        <d v="2024-06-17T00:00:00"/>
        <d v="2025-12-22T00:00:00"/>
        <d v="2025-10-16T00:00:00"/>
        <d v="2025-08-27T00:00:00"/>
        <d v="2025-03-04T00:00:00"/>
        <d v="2024-02-24T00:00:00"/>
        <d v="2025-07-04T00:00:00"/>
        <d v="2025-03-27T00:00:00"/>
        <d v="2025-12-28T00:00:00"/>
        <d v="2025-01-19T00:00:00"/>
        <d v="2025-04-14T00:00:00"/>
        <d v="2024-01-17T00:00:00"/>
        <d v="2024-11-08T00:00:00"/>
        <d v="2025-06-15T00:00:00"/>
        <d v="2025-10-18T00:00:00"/>
        <d v="2025-12-04T00:00:00"/>
        <d v="2024-10-10T00:00:00"/>
        <d v="2024-02-25T00:00:00"/>
        <d v="2025-12-19T00:00:00"/>
        <d v="2025-10-11T00:00:00"/>
        <d v="2024-09-22T00:00:00"/>
        <d v="2024-03-19T00:00:00"/>
        <d v="2025-11-21T00:00:00"/>
        <d v="2025-02-14T00:00:00"/>
        <d v="2024-10-25T00:00:00"/>
        <d v="2025-05-18T00:00:00"/>
        <d v="2024-03-17T00:00:00"/>
        <d v="2025-04-07T00:00:00"/>
        <d v="2024-12-30T00:00:00"/>
        <d v="2025-07-17T00:00:00"/>
        <d v="2024-07-21T00:00:00"/>
        <d v="2024-02-21T00:00:00"/>
        <d v="2024-08-07T00:00:00"/>
        <d v="2025-05-05T00:00:00"/>
        <d v="2024-01-31T00:00:00"/>
        <d v="2024-02-27T00:00:00"/>
        <d v="2024-02-08T00:00:00"/>
        <d v="2024-12-14T00:00:00"/>
        <d v="2024-11-05T00:00:00"/>
        <d v="2024-12-31T00:00:00"/>
        <d v="2025-02-04T00:00:00"/>
        <d v="2024-12-21T00:00:00"/>
        <d v="2024-12-24T00:00:00"/>
        <d v="2024-10-28T00:00:00"/>
        <d v="2025-07-14T00:00:00"/>
        <d v="2024-07-29T00:00:00"/>
        <d v="2025-01-25T00:00:00"/>
        <d v="2025-12-14T00:00:00"/>
        <d v="2025-08-09T00:00:00"/>
        <d v="2024-06-26T00:00:00"/>
        <d v="2025-06-16T00:00:00"/>
        <d v="2024-10-19T00:00:00"/>
        <d v="2025-03-29T00:00:00"/>
        <d v="2024-06-11T00:00:00"/>
        <d v="2024-02-03T00:00:00"/>
        <d v="2025-10-24T00:00:00"/>
        <d v="2025-11-24T00:00:00"/>
        <d v="2024-12-10T00:00:00"/>
        <d v="2024-02-06T00:00:00"/>
        <d v="2024-03-13T00:00:00"/>
        <d v="2024-06-21T00:00:00"/>
        <d v="2025-06-30T00:00:00"/>
        <d v="2025-08-25T00:00:00"/>
        <d v="2024-12-16T00:00:00"/>
        <d v="2024-08-04T00:00:00"/>
        <d v="2025-03-30T00:00:00"/>
        <d v="2024-05-20T00:00:00"/>
        <d v="2024-07-25T00:00:00"/>
        <d v="2024-04-02T00:00:00"/>
        <d v="2025-01-29T00:00:00"/>
        <d v="2024-04-16T00:00:00"/>
        <d v="2025-11-25T00:00:00"/>
        <d v="2024-06-01T00:00:00"/>
        <d v="2024-03-21T00:00:00"/>
        <d v="2025-07-24T00:00:00"/>
        <d v="2024-04-18T00:00:00"/>
        <d v="2024-08-08T00:00:00"/>
        <d v="2025-03-19T00:00:00"/>
        <d v="2024-06-13T00:00:00"/>
        <d v="2024-02-11T00:00:00"/>
        <d v="2024-02-22T00:00:00"/>
        <d v="2025-02-17T00:00:00"/>
        <d v="2025-10-26T00:00:00"/>
        <d v="2025-01-18T00:00:00"/>
        <d v="2025-10-03T00:00:00"/>
        <d v="2025-03-21T00:00:00"/>
        <d v="2025-07-25T00:00:00"/>
        <d v="2024-01-07T00:00:00"/>
        <d v="2025-07-20T00:00:00"/>
        <d v="2024-08-28T00:00:00"/>
        <d v="2025-01-08T00:00:00"/>
        <d v="2025-04-18T00:00:00"/>
        <d v="2025-02-01T00:00:00"/>
        <d v="2025-01-22T00:00:00"/>
        <d v="2024-05-01T00:00:00"/>
        <d v="2025-08-29T00:00:00"/>
        <d v="2025-09-05T00:00:00"/>
        <d v="2024-05-26T00:00:00"/>
        <d v="2024-07-26T00:00:00"/>
        <d v="2025-05-08T00:00:00"/>
        <d v="2025-08-14T00:00:00"/>
        <d v="2025-03-09T00:00:00"/>
        <d v="2024-11-10T00:00:00"/>
        <d v="2025-01-28T00:00:00"/>
        <d v="2024-10-09T00:00:00"/>
        <d v="2025-08-19T00:00:00"/>
        <d v="2024-03-10T00:00:00"/>
        <d v="2025-11-20T00:00:00"/>
        <d v="2024-07-13T00:00:00"/>
        <d v="2024-07-06T00:00:00"/>
        <d v="2025-12-03T00:00:00"/>
        <d v="2024-06-02T00:00:00"/>
        <d v="2025-05-02T00:00:00"/>
        <d v="2025-09-20T00:00:00"/>
        <d v="2024-11-17T00:00:00"/>
        <d v="2024-09-14T00:00:00"/>
        <d v="2025-02-10T00:00:00"/>
        <d v="2024-01-30T00:00:00"/>
        <d v="2025-04-12T00:00:00"/>
        <d v="2025-05-03T00:00:00"/>
        <d v="2025-10-23T00:00:00"/>
        <d v="2025-06-28T00:00:00"/>
        <d v="2025-04-08T00:00:00"/>
        <d v="2024-10-15T00:00:00"/>
        <d v="2024-11-15T00:00:00"/>
        <d v="2024-09-29T00:00:00"/>
        <d v="2024-07-22T00:00:00"/>
        <d v="2025-06-17T00:00:00"/>
        <d v="2024-01-10T00:00:00"/>
        <d v="2025-07-09T00:00:00"/>
        <d v="2025-07-08T00:00:00"/>
        <d v="2024-07-01T00:00:00"/>
        <d v="2025-05-16T00:00:00"/>
        <d v="2025-04-24T00:00:00"/>
        <d v="2025-08-05T00:00:00"/>
        <d v="2025-08-13T00:00:00"/>
        <d v="2025-09-01T00:00:00"/>
        <d v="2024-02-20T00:00:00"/>
        <d v="2025-12-12T00:00:00"/>
        <d v="2025-09-24T00:00:00"/>
        <d v="2024-10-26T00:00:00"/>
        <d v="2025-09-19T00:00:00"/>
        <d v="2024-05-28T00:00:00"/>
        <d v="2025-12-30T00:00:00"/>
        <d v="2024-01-16T00:00:00"/>
        <d v="2025-12-05T00:00:00"/>
        <d v="2025-04-19T00:00:00"/>
        <d v="2024-03-28T00:00:00"/>
        <d v="2025-03-05T00:00:00"/>
        <d v="2025-11-06T00:00:00"/>
        <d v="2025-09-17T00:00:00"/>
        <d v="2025-10-06T00:00:00"/>
        <d v="2025-02-28T00:00:00"/>
        <d v="2024-03-29T00:00:00"/>
        <d v="2024-04-10T00:00:00"/>
        <d v="2024-03-30T00:00:00"/>
        <d v="2025-07-27T00:00:00"/>
        <d v="2024-09-07T00:00:00"/>
        <d v="2025-11-17T00:00:00"/>
        <d v="2025-05-01T00:00:00"/>
        <d v="2025-12-11T00:00:00"/>
        <d v="2025-09-02T00:00:00"/>
        <d v="2024-01-01T00:00:00"/>
        <d v="2024-11-07T00:00:00"/>
        <d v="2024-02-01T00:00:00"/>
        <d v="2025-05-13T00:00:00"/>
        <d v="2025-01-12T00:00:00"/>
        <d v="2025-10-07T00:00:00"/>
        <d v="2024-01-15T00:00:00"/>
        <d v="2024-12-19T00:00:00"/>
        <d v="2025-02-03T00:00:00"/>
        <d v="2025-06-26T00:00:00"/>
        <d v="2024-09-18T00:00:00"/>
        <d v="2024-01-09T00:00:00"/>
        <d v="2024-02-28T00:00:00"/>
        <d v="2025-01-26T00:00:00"/>
        <d v="2025-10-30T00:00:00"/>
        <d v="2024-03-12T00:00:00"/>
        <d v="2024-09-01T00:00:00"/>
        <d v="2024-02-13T00:00:00"/>
        <d v="2024-08-13T00:00:00"/>
        <d v="2024-11-25T00:00:00"/>
        <d v="2025-10-17T00:00:00"/>
        <d v="2024-12-22T00:00:00"/>
        <d v="2025-05-24T00:00:00"/>
        <d v="2024-02-14T00:00:00"/>
        <d v="2024-12-17T00:00:00"/>
        <d v="2025-08-28T00:00:00"/>
        <d v="2025-02-20T00:00:00"/>
        <d v="2025-04-10T00:00:00"/>
        <d v="2024-10-03T00:00:00"/>
        <d v="2024-06-03T00:00:00"/>
        <d v="2024-08-25T00:00:00"/>
        <d v="2024-05-15T00:00:00"/>
        <d v="2024-06-19T00:00:00"/>
        <d v="2025-08-11T00:00:00"/>
        <d v="2025-02-18T00:00:00"/>
        <d v="2024-12-05T00:00:00"/>
        <d v="2024-11-11T00:00:00"/>
        <d v="2024-08-15T00:00:00"/>
        <d v="2024-05-22T00:00:00"/>
        <d v="2024-10-06T00:00:00"/>
        <d v="2025-05-11T00:00:00"/>
        <d v="2025-04-16T00:00:00"/>
        <d v="2024-06-25T00:00:00"/>
      </sharedItems>
    </cacheField>
    <cacheField name="ID_Client" numFmtId="0">
      <sharedItems count="119">
        <s v="C0025"/>
        <s v="C0017"/>
        <s v="C0103"/>
        <s v="C0034"/>
        <s v="C0039"/>
        <s v="C0013"/>
        <s v="C0008"/>
        <s v="C0007"/>
        <s v="C0070"/>
        <s v="C0006"/>
        <s v="C0092"/>
        <s v="C0093"/>
        <s v="C0033"/>
        <s v="C0104"/>
        <s v="C0040"/>
        <s v="C0099"/>
        <s v="C0001"/>
        <s v="C0028"/>
        <s v="C0021"/>
        <s v="C0087"/>
        <s v="C0107"/>
        <s v="C0074"/>
        <s v="C0029"/>
        <s v="C0023"/>
        <s v="C0060"/>
        <s v="C0058"/>
        <s v="C0118"/>
        <s v="C0112"/>
        <s v="C0072"/>
        <s v="C0116"/>
        <s v="C0083"/>
        <s v="C0019"/>
        <s v="C0043"/>
        <s v="C0068"/>
        <s v="C0009"/>
        <s v="C0047"/>
        <s v="C0094"/>
        <s v="C0011"/>
        <s v="C0082"/>
        <s v="C0005"/>
        <s v="C0057"/>
        <s v="C0117"/>
        <s v="C0016"/>
        <s v="C0119"/>
        <s v="C0079"/>
        <s v="C0120"/>
        <s v="C0081"/>
        <s v="C0108"/>
        <s v="C0027"/>
        <s v="C0062"/>
        <s v="C0032"/>
        <s v="C0076"/>
        <s v="C0018"/>
        <s v="C0088"/>
        <s v="C0014"/>
        <s v="C0059"/>
        <s v="C0051"/>
        <s v="C0037"/>
        <s v="C0105"/>
        <s v="C0055"/>
        <s v="C0109"/>
        <s v="C0073"/>
        <s v="C0064"/>
        <s v="C0065"/>
        <s v="C0102"/>
        <s v="C0012"/>
        <s v="C0110"/>
        <s v="C0030"/>
        <s v="C0095"/>
        <s v="C0046"/>
        <s v="C0056"/>
        <s v="C0041"/>
        <s v="C0077"/>
        <s v="C0111"/>
        <s v="C0101"/>
        <s v="C0052"/>
        <s v="C0098"/>
        <s v="C0022"/>
        <s v="C0054"/>
        <s v="C0106"/>
        <s v="C0115"/>
        <s v="C0042"/>
        <s v="C0003"/>
        <s v="C0048"/>
        <s v="C0086"/>
        <s v="C0113"/>
        <s v="C0100"/>
        <s v="C0067"/>
        <s v="C0036"/>
        <s v="C0075"/>
        <s v="C0061"/>
        <s v="C0026"/>
        <s v="C0049"/>
        <s v="C0080"/>
        <s v="C0089"/>
        <s v="C0071"/>
        <s v="C0002"/>
        <s v="C0066"/>
        <s v="C0010"/>
        <s v="C0053"/>
        <s v="C0085"/>
        <s v="C0045"/>
        <s v="C0096"/>
        <s v="C0050"/>
        <s v="C0035"/>
        <s v="C0090"/>
        <s v="C0020"/>
        <s v="C0004"/>
        <s v="C0031"/>
        <s v="C0084"/>
        <s v="C0078"/>
        <s v="C0069"/>
        <s v="C0015"/>
        <s v="C0097"/>
        <s v="C0038"/>
        <s v="C0044"/>
        <s v="C0063"/>
        <s v="C0024"/>
        <s v="C0091"/>
      </sharedItems>
    </cacheField>
    <cacheField name="ID_Employe" numFmtId="0">
      <sharedItems count="10">
        <s v="E010"/>
        <s v="E009"/>
        <s v="E002"/>
        <s v="E007"/>
        <s v="E008"/>
        <s v="E006"/>
        <s v="E005"/>
        <s v="E001"/>
        <s v="E004"/>
        <s v="E003"/>
      </sharedItems>
    </cacheField>
    <cacheField name="Canal_Vente" numFmtId="0">
      <sharedItems count="4">
        <s v="Téléphone"/>
        <s v="Marketplace"/>
        <s v="Web"/>
        <s v="Magasin"/>
      </sharedItems>
    </cacheField>
    <cacheField name="Statut_Commande" numFmtId="0">
      <sharedItems count="4">
        <s v="Livrée"/>
        <s v="Annulée"/>
        <s v="En cours"/>
        <s v="Retournée"/>
      </sharedItems>
    </cacheField>
    <cacheField name="Mode_Paiement" numFmtId="0">
      <sharedItems count="4">
        <s v="Virement"/>
        <s v="PayPal"/>
        <s v="Carte bancaire"/>
        <s v="Prélèvement"/>
      </sharedItems>
    </cacheField>
    <cacheField name="Frais_Livraison_HT" numFmtId="179">
      <sharedItems containsSemiMixedTypes="0" containsString="0" containsNumber="1" minValue="0" maxValue="12.5" count="4">
        <n v="0"/>
        <n v="4.9"/>
        <n v="7.9"/>
        <n v="12.5"/>
      </sharedItems>
    </cacheField>
    <cacheField name="Total_HT" numFmtId="179">
      <sharedItems containsSemiMixedTypes="0" containsString="0" containsNumber="1" minValue="0" maxValue="8837.02" count="417">
        <n v="748.02"/>
        <n v="2103.62"/>
        <n v="1648.02"/>
        <n v="559.21"/>
        <n v="821.79"/>
        <n v="528.92"/>
        <n v="602.95"/>
        <n v="862.57"/>
        <n v="65.08"/>
        <n v="115.96"/>
        <n v="1636.29"/>
        <n v="169.23"/>
        <n v="101"/>
        <n v="80.3"/>
        <n v="314.9"/>
        <n v="1055.3"/>
        <n v="132.48"/>
        <n v="497.04"/>
        <n v="562.16"/>
        <n v="630.43"/>
        <n v="381.57"/>
        <n v="1225.32"/>
        <n v="318.28"/>
        <n v="1187.59"/>
        <n v="597.52"/>
        <n v="770.95"/>
        <n v="227.38"/>
        <n v="1465.37"/>
        <n v="235.94"/>
        <n v="383.16"/>
        <n v="1294.71"/>
        <n v="254.1"/>
        <n v="181.72"/>
        <n v="633.87"/>
        <n v="38.69"/>
        <n v="1658.45"/>
        <n v="582.36"/>
        <n v="34.98"/>
        <n v="647.74"/>
        <n v="379.8"/>
        <n v="1197.74"/>
        <n v="1224.34"/>
        <n v="1025.05"/>
        <n v="56.84"/>
        <n v="203.15"/>
        <n v="431.79"/>
        <n v="624.35"/>
        <n v="280.87"/>
        <n v="369.57"/>
        <n v="666.55"/>
        <n v="409.71"/>
        <n v="769.23"/>
        <n v="829.84"/>
        <n v="310.65"/>
        <n v="1019.72"/>
        <n v="212.4"/>
        <n v="755.82"/>
        <n v="1078.72"/>
        <n v="542.19"/>
        <n v="1958.81"/>
        <n v="66.25"/>
        <n v="161.9"/>
        <n v="555.48"/>
        <n v="414.67"/>
        <n v="213.69"/>
        <n v="477.64"/>
        <n v="52.24"/>
        <n v="1395.57"/>
        <n v="1064.95"/>
        <n v="639.08"/>
        <n v="28.89"/>
        <n v="1076.88"/>
        <n v="1730.67"/>
        <n v="3501.56"/>
        <n v="2236.38"/>
        <n v="682.8"/>
        <n v="233.14"/>
        <n v="613.26"/>
        <n v="1258.19"/>
        <n v="225.83"/>
        <n v="851.09"/>
        <n v="628.5"/>
        <n v="156.48"/>
        <n v="332.72"/>
        <n v="584.88"/>
        <n v="144.4"/>
        <n v="353.61"/>
        <n v="460.9"/>
        <n v="146.04"/>
        <n v="1979.19"/>
        <n v="385.55"/>
        <n v="61.71"/>
        <n v="447.68"/>
        <n v="1096.49"/>
        <n v="53.44"/>
        <n v="756.62"/>
        <n v="186.55"/>
        <n v="107.45"/>
        <n v="177.78"/>
        <n v="1124.73"/>
        <n v="2338.19"/>
        <n v="474.96"/>
        <n v="507.64"/>
        <n v="37.75"/>
        <n v="44.2"/>
        <n v="93.66"/>
        <n v="890.58"/>
        <n v="182.29"/>
        <n v="603.59"/>
        <n v="269.37"/>
        <n v="519.45"/>
        <n v="257.8"/>
        <n v="862.01"/>
        <n v="101.64"/>
        <n v="2266.44"/>
        <n v="1425.51"/>
        <n v="240.47"/>
        <n v="41.95"/>
        <n v="473.56"/>
        <n v="1626.02"/>
        <n v="1385.85"/>
        <n v="502.63"/>
        <n v="1356.05"/>
        <n v="301.58"/>
        <n v="429.87"/>
        <n v="1430.99"/>
        <n v="1666.7"/>
        <n v="84.94"/>
        <n v="423.62"/>
        <n v="528.27"/>
        <n v="235.6"/>
        <n v="1018.96"/>
        <n v="576.28"/>
        <n v="2612.86"/>
        <n v="3022.31"/>
        <n v="29.48"/>
        <n v="170.58"/>
        <n v="1298.15"/>
        <n v="45.7"/>
        <n v="3414.24"/>
        <n v="868.78"/>
        <n v="66.04"/>
        <n v="2433.6"/>
        <n v="3566.5"/>
        <n v="519.67"/>
        <n v="308.71"/>
        <n v="530.61"/>
        <n v="815.55"/>
        <n v="134.79"/>
        <n v="420"/>
        <n v="1708.08"/>
        <n v="85.52"/>
        <n v="642.23"/>
        <n v="8591.96"/>
        <n v="983.08"/>
        <n v="1408.51"/>
        <n v="168"/>
        <n v="1519.23"/>
        <n v="388.36"/>
        <n v="1776.31"/>
        <n v="780.71"/>
        <n v="4971.28"/>
        <n v="379.67"/>
        <n v="340.53"/>
        <n v="1574.23"/>
        <n v="53.92"/>
        <n v="263.44"/>
        <n v="73.45"/>
        <n v="837.49"/>
        <n v="505.66"/>
        <n v="51.8"/>
        <n v="976.43"/>
        <n v="1312.27"/>
        <n v="1228.78"/>
        <n v="1697.93"/>
        <n v="1963.96"/>
        <n v="390.3"/>
        <n v="285.78"/>
        <n v="1156.63"/>
        <n v="1064.2"/>
        <n v="41.42"/>
        <n v="2505.38"/>
        <n v="201.64"/>
        <n v="844.06"/>
        <n v="45.63"/>
        <n v="29.36"/>
        <n v="1123.32"/>
        <n v="122"/>
        <n v="124.33"/>
        <n v="199.84"/>
        <n v="2440.82"/>
        <n v="326.26"/>
        <n v="471.36"/>
        <n v="888.08"/>
        <n v="92.21"/>
        <n v="1104.33"/>
        <n v="151.17"/>
        <n v="1049.06"/>
        <n v="3561.38"/>
        <n v="627.02"/>
        <n v="3992"/>
        <n v="293.54"/>
        <n v="30.71"/>
        <n v="295.17"/>
        <n v="60.18"/>
        <n v="144.39"/>
        <n v="786.44"/>
        <n v="939.49"/>
        <n v="1120.17"/>
        <n v="1269.57"/>
        <n v="364.71"/>
        <n v="2217.74"/>
        <n v="2357.44"/>
        <n v="275.21"/>
        <n v="54.43"/>
        <n v="294.06"/>
        <n v="72.33"/>
        <n v="348.93"/>
        <n v="5289.99"/>
        <n v="149"/>
        <n v="869.24"/>
        <n v="641.61"/>
        <n v="2158.29"/>
        <n v="199.32"/>
        <n v="490.4"/>
        <n v="150.14"/>
        <n v="251.56"/>
        <n v="131.42"/>
        <n v="560.84"/>
        <n v="569.06"/>
        <n v="224.07"/>
        <n v="414.05"/>
        <n v="1185.8"/>
        <n v="1135.92"/>
        <n v="413.12"/>
        <n v="621.75"/>
        <n v="1752.04"/>
        <n v="2064.77"/>
        <n v="1769.93"/>
        <n v="1243.35"/>
        <n v="1105.04"/>
        <n v="210.98"/>
        <n v="514.32"/>
        <n v="428.72"/>
        <n v="1133.6"/>
        <n v="831.36"/>
        <n v="1855.47"/>
        <n v="550.57"/>
        <n v="258.61"/>
        <n v="525.58"/>
        <n v="1822.62"/>
        <n v="881.76"/>
        <n v="1405.19"/>
        <n v="420.07"/>
        <n v="8837.02"/>
        <n v="521.38"/>
        <n v="884.99"/>
        <n v="2123.79"/>
        <n v="3347.41"/>
        <n v="2283.59"/>
        <n v="95.17"/>
        <n v="4315.63"/>
        <n v="470.81"/>
        <n v="4146.55"/>
        <n v="35.74"/>
        <n v="793.64"/>
        <n v="520.6"/>
        <n v="2380.39"/>
        <n v="313.44"/>
        <n v="636.23"/>
        <n v="576.17"/>
        <n v="524.68"/>
        <n v="196.85"/>
        <n v="1224.49"/>
        <n v="197.72"/>
        <n v="428.09"/>
        <n v="378.27"/>
        <n v="980.04"/>
        <n v="73.14"/>
        <n v="447.2"/>
        <n v="281.17"/>
        <n v="211.55"/>
        <n v="438.13"/>
        <n v="35.54"/>
        <n v="1769.84"/>
        <n v="375.95"/>
        <n v="403"/>
        <n v="625.76"/>
        <n v="2572.23"/>
        <n v="59.83"/>
        <n v="180.54"/>
        <n v="656.06"/>
        <n v="1251.27"/>
        <n v="1360.21"/>
        <n v="406.15"/>
        <n v="1143.09"/>
        <n v="1963.43"/>
        <n v="3499.81"/>
        <n v="113.29"/>
        <n v="900.52"/>
        <n v="1782.02"/>
        <n v="322.23"/>
        <n v="66.31"/>
        <n v="1348.04"/>
        <n v="840.59"/>
        <n v="445.86"/>
        <n v="140.38"/>
        <n v="1171.17"/>
        <n v="98.79"/>
        <n v="348.52"/>
        <n v="1500.47"/>
        <n v="105.8"/>
        <n v="5019.73"/>
        <n v="3078.61"/>
        <n v="621.29"/>
        <n v="371.47"/>
        <n v="1247.8"/>
        <n v="377.21"/>
        <n v="186.31"/>
        <n v="1335.21"/>
        <n v="751.97"/>
        <n v="128.97"/>
        <n v="497.64"/>
        <n v="49.53"/>
        <n v="916.69"/>
        <n v="3941.41"/>
        <n v="1341.06"/>
        <n v="225.64"/>
        <n v="108.39"/>
        <n v="731.53"/>
        <n v="445.92"/>
        <n v="601.83"/>
        <n v="146.85"/>
        <n v="3542.03"/>
        <n v="452.55"/>
        <n v="146.03"/>
        <n v="92.68"/>
        <n v="272.54"/>
        <n v="1055.52"/>
        <n v="777.28"/>
        <n v="292.16"/>
        <n v="39.02"/>
        <n v="141.63"/>
        <n v="1662.49"/>
        <n v="1078.25"/>
        <n v="88.8"/>
        <n v="707.08"/>
        <n v="761.17"/>
        <n v="482.63"/>
        <n v="55.76"/>
        <n v="197.65"/>
        <n v="409.26"/>
        <n v="435.48"/>
        <n v="690.91"/>
        <n v="542.91"/>
        <n v="1261.01"/>
        <n v="4212.52"/>
        <n v="1439.53"/>
        <n v="480.11"/>
        <n v="42.23"/>
        <n v="258.45"/>
        <n v="305.86"/>
        <n v="743.4"/>
        <n v="47.74"/>
        <n v="315.35"/>
        <n v="259.67"/>
        <n v="259.98"/>
        <n v="2022.28"/>
        <n v="92.84"/>
        <n v="2692.14"/>
        <n v="5482.68"/>
        <n v="528.1"/>
        <n v="131.01"/>
        <n v="487.48"/>
        <n v="350.42"/>
        <n v="611.19"/>
        <n v="1915.25"/>
        <n v="692.59"/>
        <n v="153.94"/>
        <n v="414.39"/>
        <n v="129.16"/>
        <n v="2215.52"/>
        <n v="285.45"/>
        <n v="1214.37"/>
        <n v="25.82"/>
        <n v="396.78"/>
        <n v="40.73"/>
        <n v="485.33"/>
        <n v="124.18"/>
        <n v="754.08"/>
        <n v="63.85"/>
        <n v="581.2"/>
        <n v="1738.68"/>
        <n v="4967"/>
        <n v="792.09"/>
        <n v="64.69"/>
        <n v="64.88"/>
        <n v="1836.46"/>
        <n v="72.03"/>
        <n v="262.65"/>
        <n v="201.52"/>
        <n v="464.51"/>
        <n v="42.81"/>
        <n v="3393.98"/>
        <n v="69.39"/>
        <n v="366.97"/>
        <n v="71.62"/>
        <n v="1103.19"/>
        <n v="274.88"/>
        <n v="6599.96"/>
        <n v="377.42"/>
        <n v="1209.61"/>
        <n v="1114.24"/>
        <n v="541.76"/>
        <n v="2066.82"/>
        <n v="817.59"/>
        <n v="49.06"/>
      </sharedItems>
    </cacheField>
    <cacheField name="Total_TTC" numFmtId="179">
      <sharedItems containsSemiMixedTypes="0" containsString="0" containsNumber="1" minValue="0" maxValue="10604.42" count="417">
        <n v="897.62"/>
        <n v="2524.34"/>
        <n v="1977.62"/>
        <n v="671.05"/>
        <n v="986.15"/>
        <n v="634.7"/>
        <n v="723.54"/>
        <n v="1035.08"/>
        <n v="78.1"/>
        <n v="139.15"/>
        <n v="1963.55"/>
        <n v="203.08"/>
        <n v="121.2"/>
        <n v="96.36"/>
        <n v="377.88"/>
        <n v="1266.36"/>
        <n v="158.98"/>
        <n v="596.45"/>
        <n v="674.59"/>
        <n v="756.52"/>
        <n v="457.88"/>
        <n v="1470.38"/>
        <n v="381.94"/>
        <n v="1425.11"/>
        <n v="717.02"/>
        <n v="925.14"/>
        <n v="272.86"/>
        <n v="1758.44"/>
        <n v="283.13"/>
        <n v="459.79"/>
        <n v="1553.65"/>
        <n v="304.92"/>
        <n v="218.06"/>
        <n v="760.64"/>
        <n v="46.43"/>
        <n v="1990.14"/>
        <n v="698.83"/>
        <n v="41.98"/>
        <n v="777.29"/>
        <n v="455.76"/>
        <n v="1437.29"/>
        <n v="1469.21"/>
        <n v="1230.06"/>
        <n v="68.21"/>
        <n v="243.78"/>
        <n v="518.15"/>
        <n v="749.22"/>
        <n v="337.04"/>
        <n v="443.48"/>
        <n v="799.86"/>
        <n v="491.65"/>
        <n v="923.08"/>
        <n v="995.81"/>
        <n v="372.78"/>
        <n v="1223.66"/>
        <n v="254.88"/>
        <n v="906.98"/>
        <n v="1294.46"/>
        <n v="650.63"/>
        <n v="2350.57"/>
        <n v="79.5"/>
        <n v="194.28"/>
        <n v="666.58"/>
        <n v="497.6"/>
        <n v="256.43"/>
        <n v="573.17"/>
        <n v="62.69"/>
        <n v="1674.68"/>
        <n v="1277.94"/>
        <n v="766.9"/>
        <n v="34.67"/>
        <n v="1292.26"/>
        <n v="2076.8"/>
        <n v="4201.87"/>
        <n v="2683.66"/>
        <n v="819.36"/>
        <n v="279.77"/>
        <n v="735.91"/>
        <n v="1509.83"/>
        <n v="271"/>
        <n v="1021.31"/>
        <n v="754.2"/>
        <n v="187.78"/>
        <n v="399.26"/>
        <n v="701.86"/>
        <n v="173.28"/>
        <n v="424.33"/>
        <n v="553.08"/>
        <n v="175.25"/>
        <n v="2375.03"/>
        <n v="462.66"/>
        <n v="74.05"/>
        <n v="537.22"/>
        <n v="1315.79"/>
        <n v="64.13"/>
        <n v="907.94"/>
        <n v="223.86"/>
        <n v="128.94"/>
        <n v="213.34"/>
        <n v="1349.68"/>
        <n v="2805.83"/>
        <n v="569.95"/>
        <n v="609.17"/>
        <n v="45.3"/>
        <n v="53.04"/>
        <n v="112.39"/>
        <n v="1068.7"/>
        <n v="218.75"/>
        <n v="724.31"/>
        <n v="323.24"/>
        <n v="623.34"/>
        <n v="309.36"/>
        <n v="1034.41"/>
        <n v="121.97"/>
        <n v="2719.73"/>
        <n v="1710.61"/>
        <n v="288.56"/>
        <n v="50.34"/>
        <n v="568.27"/>
        <n v="1951.22"/>
        <n v="1663.02"/>
        <n v="603.16"/>
        <n v="1627.26"/>
        <n v="361.9"/>
        <n v="515.84"/>
        <n v="1717.19"/>
        <n v="2000.04"/>
        <n v="101.93"/>
        <n v="508.34"/>
        <n v="633.92"/>
        <n v="282.72"/>
        <n v="1222.75"/>
        <n v="691.54"/>
        <n v="3135.43"/>
        <n v="3626.77"/>
        <n v="35.38"/>
        <n v="204.7"/>
        <n v="1557.78"/>
        <n v="54.84"/>
        <n v="4097.09"/>
        <n v="1042.54"/>
        <n v="79.25"/>
        <n v="2920.32"/>
        <n v="4279.8"/>
        <n v="623.6"/>
        <n v="370.45"/>
        <n v="636.73"/>
        <n v="978.66"/>
        <n v="161.75"/>
        <n v="504"/>
        <n v="2049.7"/>
        <n v="102.62"/>
        <n v="770.68"/>
        <n v="10310.35"/>
        <n v="1179.7"/>
        <n v="1690.21"/>
        <n v="201.6"/>
        <n v="1823.08"/>
        <n v="466.03"/>
        <n v="2131.57"/>
        <n v="936.85"/>
        <n v="5965.54"/>
        <n v="455.6"/>
        <n v="408.64"/>
        <n v="1889.08"/>
        <n v="64.7"/>
        <n v="316.13"/>
        <n v="88.14"/>
        <n v="1004.99"/>
        <n v="606.79"/>
        <n v="62.16"/>
        <n v="1171.72"/>
        <n v="1574.72"/>
        <n v="1474.54"/>
        <n v="2037.52"/>
        <n v="2356.75"/>
        <n v="468.36"/>
        <n v="342.94"/>
        <n v="1387.96"/>
        <n v="1277.04"/>
        <n v="49.7"/>
        <n v="3006.46"/>
        <n v="241.97"/>
        <n v="1012.87"/>
        <n v="54.76"/>
        <n v="35.23"/>
        <n v="1347.98"/>
        <n v="146.4"/>
        <n v="149.2"/>
        <n v="239.81"/>
        <n v="2928.98"/>
        <n v="391.51"/>
        <n v="565.63"/>
        <n v="1065.7"/>
        <n v="110.65"/>
        <n v="1325.2"/>
        <n v="181.4"/>
        <n v="1258.87"/>
        <n v="4273.66"/>
        <n v="752.42"/>
        <n v="4790.4"/>
        <n v="352.25"/>
        <n v="36.85"/>
        <n v="354.2"/>
        <n v="72.22"/>
        <n v="173.27"/>
        <n v="943.73"/>
        <n v="1127.39"/>
        <n v="1344.2"/>
        <n v="1523.48"/>
        <n v="437.65"/>
        <n v="2661.29"/>
        <n v="2828.93"/>
        <n v="330.25"/>
        <n v="65.32"/>
        <n v="352.87"/>
        <n v="86.8"/>
        <n v="418.72"/>
        <n v="6347.99"/>
        <n v="178.8"/>
        <n v="1043.09"/>
        <n v="769.93"/>
        <n v="2589.95"/>
        <n v="239.18"/>
        <n v="588.48"/>
        <n v="180.17"/>
        <n v="301.87"/>
        <n v="157.7"/>
        <n v="673.01"/>
        <n v="682.87"/>
        <n v="268.88"/>
        <n v="496.86"/>
        <n v="1422.96"/>
        <n v="1363.1"/>
        <n v="495.74"/>
        <n v="746.1"/>
        <n v="2102.45"/>
        <n v="2477.72"/>
        <n v="2123.92"/>
        <n v="1492.02"/>
        <n v="1326.05"/>
        <n v="253.18"/>
        <n v="617.18"/>
        <n v="514.46"/>
        <n v="1360.32"/>
        <n v="997.63"/>
        <n v="2226.56"/>
        <n v="660.68"/>
        <n v="310.33"/>
        <n v="630.7"/>
        <n v="2187.14"/>
        <n v="1058.11"/>
        <n v="1686.23"/>
        <n v="504.08"/>
        <n v="10604.42"/>
        <n v="625.66"/>
        <n v="1061.99"/>
        <n v="2548.55"/>
        <n v="4016.89"/>
        <n v="2740.31"/>
        <n v="114.2"/>
        <n v="5178.76"/>
        <n v="564.97"/>
        <n v="4975.86"/>
        <n v="42.89"/>
        <n v="952.37"/>
        <n v="624.72"/>
        <n v="2856.47"/>
        <n v="376.13"/>
        <n v="763.48"/>
        <n v="691.4"/>
        <n v="629.62"/>
        <n v="236.22"/>
        <n v="1469.39"/>
        <n v="237.26"/>
        <n v="513.71"/>
        <n v="453.92"/>
        <n v="1176.05"/>
        <n v="87.77"/>
        <n v="536.64"/>
        <n v="337.4"/>
        <n v="253.86"/>
        <n v="525.76"/>
        <n v="42.65"/>
        <n v="2123.81"/>
        <n v="451.14"/>
        <n v="483.6"/>
        <n v="750.91"/>
        <n v="3086.68"/>
        <n v="71.8"/>
        <n v="216.65"/>
        <n v="787.27"/>
        <n v="1501.52"/>
        <n v="1632.25"/>
        <n v="487.38"/>
        <n v="1371.71"/>
        <n v="2356.12"/>
        <n v="4199.77"/>
        <n v="135.95"/>
        <n v="1080.62"/>
        <n v="2138.42"/>
        <n v="386.68"/>
        <n v="79.57"/>
        <n v="1617.65"/>
        <n v="1008.71"/>
        <n v="535.03"/>
        <n v="168.46"/>
        <n v="1405.4"/>
        <n v="118.55"/>
        <n v="418.22"/>
        <n v="1800.56"/>
        <n v="126.96"/>
        <n v="6023.68"/>
        <n v="3694.33"/>
        <n v="745.55"/>
        <n v="445.76"/>
        <n v="1497.36"/>
        <n v="452.65"/>
        <n v="223.57"/>
        <n v="1602.25"/>
        <n v="902.36"/>
        <n v="154.76"/>
        <n v="597.17"/>
        <n v="59.44"/>
        <n v="1100.03"/>
        <n v="4729.69"/>
        <n v="1609.27"/>
        <n v="270.77"/>
        <n v="130.07"/>
        <n v="877.84"/>
        <n v="535.1"/>
        <n v="722.2"/>
        <n v="176.22"/>
        <n v="4250.44"/>
        <n v="543.06"/>
        <n v="175.24"/>
        <n v="111.22"/>
        <n v="327.05"/>
        <n v="1266.62"/>
        <n v="932.74"/>
        <n v="350.59"/>
        <n v="46.82"/>
        <n v="169.96"/>
        <n v="1994.99"/>
        <n v="1293.9"/>
        <n v="106.56"/>
        <n v="848.5"/>
        <n v="913.4"/>
        <n v="579.16"/>
        <n v="66.91"/>
        <n v="237.18"/>
        <n v="491.11"/>
        <n v="522.58"/>
        <n v="829.09"/>
        <n v="651.49"/>
        <n v="1513.21"/>
        <n v="5055.02"/>
        <n v="1727.44"/>
        <n v="576.13"/>
        <n v="50.68"/>
        <n v="310.14"/>
        <n v="367.03"/>
        <n v="892.08"/>
        <n v="57.29"/>
        <n v="378.42"/>
        <n v="311.6"/>
        <n v="311.98"/>
        <n v="2426.74"/>
        <n v="111.41"/>
        <n v="3230.57"/>
        <n v="6579.22"/>
        <n v="633.72"/>
        <n v="157.21"/>
        <n v="584.98"/>
        <n v="420.5"/>
        <n v="733.43"/>
        <n v="2298.3"/>
        <n v="831.11"/>
        <n v="184.73"/>
        <n v="497.27"/>
        <n v="154.99"/>
        <n v="2658.62"/>
        <n v="342.54"/>
        <n v="1457.24"/>
        <n v="30.98"/>
        <n v="476.14"/>
        <n v="48.88"/>
        <n v="582.4"/>
        <n v="149.02"/>
        <n v="904.9"/>
        <n v="76.62"/>
        <n v="697.44"/>
        <n v="2086.42"/>
        <n v="5960.4"/>
        <n v="950.51"/>
        <n v="77.63"/>
        <n v="77.86"/>
        <n v="2203.75"/>
        <n v="86.44"/>
        <n v="315.18"/>
        <n v="241.82"/>
        <n v="557.41"/>
        <n v="51.37"/>
        <n v="4072.78"/>
        <n v="83.27"/>
        <n v="440.36"/>
        <n v="85.94"/>
        <n v="1323.83"/>
        <n v="329.86"/>
        <n v="7919.95"/>
        <n v="452.9"/>
        <n v="1451.53"/>
        <n v="1337.09"/>
        <n v="650.11"/>
        <n v="2480.18"/>
        <n v="981.11"/>
        <n v="58.87"/>
      </sharedItems>
    </cacheField>
    <cacheField name="Mois" numFmtId="178">
      <sharedItems count="24">
        <s v="10-2025"/>
        <s v="07-2024"/>
        <s v="12-2024"/>
        <s v="11-2025"/>
        <s v="12-2025"/>
        <s v="01-2025"/>
        <s v="01-2024"/>
        <s v="05-2024"/>
        <s v="06-2024"/>
        <s v="09-2025"/>
        <s v="07-2025"/>
        <s v="06-2025"/>
        <s v="10-2024"/>
        <s v="11-2024"/>
        <s v="03-2025"/>
        <s v="03-2024"/>
        <s v="02-2024"/>
        <s v="04-2025"/>
        <s v="09-2024"/>
        <s v="08-2025"/>
        <s v="04-2024"/>
        <s v="08-2024"/>
        <s v="02-2025"/>
        <s v="05-20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3.4123611111" refreshedBy="Nguye" recordCount="25">
  <cacheSource type="worksheet">
    <worksheetSource ref="A23:B48" sheet="Feuille13"/>
  </cacheSource>
  <cacheFields count="2">
    <cacheField name="Mois" numFmtId="0">
      <sharedItems count="25">
        <s v="09-2025"/>
        <s v="05-2025"/>
        <s v="01-2025"/>
        <s v="06-2024"/>
        <s v="10-2025"/>
        <s v="02-2024"/>
        <s v="11-2024"/>
        <s v="12-2024"/>
        <s v="04-2025"/>
        <s v="03-2025"/>
        <s v="05-2024"/>
        <s v="07-2025"/>
        <s v="01-2024"/>
        <s v="08-2025"/>
        <s v="12-2025"/>
        <s v="07-2024"/>
        <s v="11-2025"/>
        <s v="03-2024"/>
        <s v="10-2024"/>
        <s v="06-2025"/>
        <s v="08-2024"/>
        <s v="09-2024"/>
        <s v="02-2025"/>
        <s v="04-2024"/>
        <s v="Total général"/>
      </sharedItems>
    </cacheField>
    <cacheField name="Somme de Total_HT" numFmtId="0">
      <sharedItems containsSemiMixedTypes="0" containsString="0" containsNumber="1" minValue="0" maxValue="371595.53" count="25">
        <n v="27449.06"/>
        <n v="22431.28"/>
        <n v="21157.72"/>
        <n v="19776.33"/>
        <n v="19723.36"/>
        <n v="19635.38"/>
        <n v="19557.24"/>
        <n v="18742.62"/>
        <n v="17147.6"/>
        <n v="16764.52"/>
        <n v="16102.83"/>
        <n v="15420.11"/>
        <n v="15307.28"/>
        <n v="15108.52"/>
        <n v="14920.69"/>
        <n v="13438.21"/>
        <n v="13350.98"/>
        <n v="11714.22"/>
        <n v="11619.16"/>
        <n v="10304.42"/>
        <n v="10244.68"/>
        <n v="8175.66"/>
        <n v="7372.46"/>
        <n v="6131.2"/>
        <n v="371595.5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">
  <r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1"/>
    <x v="1"/>
  </r>
  <r>
    <x v="2"/>
    <x v="2"/>
    <x v="2"/>
    <x v="2"/>
    <x v="1"/>
    <x v="1"/>
    <x v="0"/>
    <x v="1"/>
    <x v="2"/>
    <x v="2"/>
    <x v="2"/>
  </r>
  <r>
    <x v="3"/>
    <x v="3"/>
    <x v="3"/>
    <x v="0"/>
    <x v="1"/>
    <x v="0"/>
    <x v="1"/>
    <x v="0"/>
    <x v="3"/>
    <x v="3"/>
    <x v="3"/>
  </r>
  <r>
    <x v="4"/>
    <x v="4"/>
    <x v="4"/>
    <x v="3"/>
    <x v="2"/>
    <x v="0"/>
    <x v="2"/>
    <x v="2"/>
    <x v="4"/>
    <x v="4"/>
    <x v="4"/>
  </r>
  <r>
    <x v="5"/>
    <x v="5"/>
    <x v="5"/>
    <x v="4"/>
    <x v="1"/>
    <x v="2"/>
    <x v="1"/>
    <x v="0"/>
    <x v="5"/>
    <x v="5"/>
    <x v="3"/>
  </r>
  <r>
    <x v="6"/>
    <x v="6"/>
    <x v="6"/>
    <x v="3"/>
    <x v="0"/>
    <x v="0"/>
    <x v="2"/>
    <x v="3"/>
    <x v="6"/>
    <x v="6"/>
    <x v="5"/>
  </r>
  <r>
    <x v="7"/>
    <x v="7"/>
    <x v="7"/>
    <x v="5"/>
    <x v="3"/>
    <x v="3"/>
    <x v="0"/>
    <x v="0"/>
    <x v="7"/>
    <x v="7"/>
    <x v="6"/>
  </r>
  <r>
    <x v="8"/>
    <x v="8"/>
    <x v="8"/>
    <x v="6"/>
    <x v="3"/>
    <x v="0"/>
    <x v="2"/>
    <x v="1"/>
    <x v="8"/>
    <x v="8"/>
    <x v="7"/>
  </r>
  <r>
    <x v="9"/>
    <x v="9"/>
    <x v="3"/>
    <x v="7"/>
    <x v="3"/>
    <x v="0"/>
    <x v="2"/>
    <x v="0"/>
    <x v="9"/>
    <x v="9"/>
    <x v="8"/>
  </r>
  <r>
    <x v="10"/>
    <x v="10"/>
    <x v="9"/>
    <x v="1"/>
    <x v="0"/>
    <x v="0"/>
    <x v="2"/>
    <x v="0"/>
    <x v="10"/>
    <x v="10"/>
    <x v="9"/>
  </r>
  <r>
    <x v="11"/>
    <x v="11"/>
    <x v="10"/>
    <x v="5"/>
    <x v="1"/>
    <x v="3"/>
    <x v="1"/>
    <x v="3"/>
    <x v="11"/>
    <x v="11"/>
    <x v="10"/>
  </r>
  <r>
    <x v="12"/>
    <x v="12"/>
    <x v="11"/>
    <x v="8"/>
    <x v="1"/>
    <x v="0"/>
    <x v="0"/>
    <x v="3"/>
    <x v="12"/>
    <x v="12"/>
    <x v="10"/>
  </r>
  <r>
    <x v="13"/>
    <x v="13"/>
    <x v="12"/>
    <x v="5"/>
    <x v="3"/>
    <x v="0"/>
    <x v="3"/>
    <x v="0"/>
    <x v="13"/>
    <x v="13"/>
    <x v="3"/>
  </r>
  <r>
    <x v="14"/>
    <x v="14"/>
    <x v="13"/>
    <x v="9"/>
    <x v="2"/>
    <x v="0"/>
    <x v="1"/>
    <x v="0"/>
    <x v="14"/>
    <x v="14"/>
    <x v="5"/>
  </r>
  <r>
    <x v="15"/>
    <x v="15"/>
    <x v="14"/>
    <x v="5"/>
    <x v="2"/>
    <x v="0"/>
    <x v="0"/>
    <x v="1"/>
    <x v="15"/>
    <x v="15"/>
    <x v="9"/>
  </r>
  <r>
    <x v="16"/>
    <x v="16"/>
    <x v="15"/>
    <x v="0"/>
    <x v="2"/>
    <x v="0"/>
    <x v="1"/>
    <x v="0"/>
    <x v="16"/>
    <x v="16"/>
    <x v="10"/>
  </r>
  <r>
    <x v="17"/>
    <x v="17"/>
    <x v="16"/>
    <x v="9"/>
    <x v="3"/>
    <x v="0"/>
    <x v="3"/>
    <x v="0"/>
    <x v="17"/>
    <x v="17"/>
    <x v="2"/>
  </r>
  <r>
    <x v="18"/>
    <x v="18"/>
    <x v="17"/>
    <x v="3"/>
    <x v="1"/>
    <x v="0"/>
    <x v="0"/>
    <x v="2"/>
    <x v="18"/>
    <x v="18"/>
    <x v="11"/>
  </r>
  <r>
    <x v="19"/>
    <x v="19"/>
    <x v="18"/>
    <x v="0"/>
    <x v="2"/>
    <x v="0"/>
    <x v="1"/>
    <x v="3"/>
    <x v="19"/>
    <x v="19"/>
    <x v="8"/>
  </r>
  <r>
    <x v="20"/>
    <x v="20"/>
    <x v="19"/>
    <x v="0"/>
    <x v="1"/>
    <x v="0"/>
    <x v="1"/>
    <x v="0"/>
    <x v="20"/>
    <x v="20"/>
    <x v="12"/>
  </r>
  <r>
    <x v="21"/>
    <x v="21"/>
    <x v="17"/>
    <x v="9"/>
    <x v="0"/>
    <x v="0"/>
    <x v="2"/>
    <x v="0"/>
    <x v="21"/>
    <x v="21"/>
    <x v="13"/>
  </r>
  <r>
    <x v="22"/>
    <x v="22"/>
    <x v="20"/>
    <x v="5"/>
    <x v="2"/>
    <x v="0"/>
    <x v="2"/>
    <x v="3"/>
    <x v="22"/>
    <x v="22"/>
    <x v="10"/>
  </r>
  <r>
    <x v="23"/>
    <x v="23"/>
    <x v="21"/>
    <x v="3"/>
    <x v="1"/>
    <x v="0"/>
    <x v="3"/>
    <x v="0"/>
    <x v="23"/>
    <x v="23"/>
    <x v="14"/>
  </r>
  <r>
    <x v="24"/>
    <x v="24"/>
    <x v="22"/>
    <x v="5"/>
    <x v="3"/>
    <x v="0"/>
    <x v="2"/>
    <x v="1"/>
    <x v="24"/>
    <x v="24"/>
    <x v="2"/>
  </r>
  <r>
    <x v="25"/>
    <x v="25"/>
    <x v="23"/>
    <x v="4"/>
    <x v="1"/>
    <x v="0"/>
    <x v="3"/>
    <x v="2"/>
    <x v="25"/>
    <x v="25"/>
    <x v="15"/>
  </r>
  <r>
    <x v="26"/>
    <x v="26"/>
    <x v="24"/>
    <x v="4"/>
    <x v="2"/>
    <x v="0"/>
    <x v="1"/>
    <x v="0"/>
    <x v="26"/>
    <x v="26"/>
    <x v="13"/>
  </r>
  <r>
    <x v="27"/>
    <x v="27"/>
    <x v="25"/>
    <x v="0"/>
    <x v="3"/>
    <x v="0"/>
    <x v="3"/>
    <x v="1"/>
    <x v="27"/>
    <x v="27"/>
    <x v="16"/>
  </r>
  <r>
    <x v="28"/>
    <x v="14"/>
    <x v="26"/>
    <x v="6"/>
    <x v="1"/>
    <x v="0"/>
    <x v="1"/>
    <x v="0"/>
    <x v="28"/>
    <x v="28"/>
    <x v="5"/>
  </r>
  <r>
    <x v="29"/>
    <x v="28"/>
    <x v="27"/>
    <x v="9"/>
    <x v="0"/>
    <x v="0"/>
    <x v="0"/>
    <x v="2"/>
    <x v="29"/>
    <x v="29"/>
    <x v="9"/>
  </r>
  <r>
    <x v="30"/>
    <x v="26"/>
    <x v="28"/>
    <x v="3"/>
    <x v="0"/>
    <x v="0"/>
    <x v="2"/>
    <x v="3"/>
    <x v="30"/>
    <x v="30"/>
    <x v="13"/>
  </r>
  <r>
    <x v="31"/>
    <x v="29"/>
    <x v="22"/>
    <x v="9"/>
    <x v="3"/>
    <x v="0"/>
    <x v="2"/>
    <x v="0"/>
    <x v="31"/>
    <x v="31"/>
    <x v="1"/>
  </r>
  <r>
    <x v="32"/>
    <x v="30"/>
    <x v="9"/>
    <x v="3"/>
    <x v="0"/>
    <x v="0"/>
    <x v="0"/>
    <x v="3"/>
    <x v="32"/>
    <x v="32"/>
    <x v="14"/>
  </r>
  <r>
    <x v="33"/>
    <x v="31"/>
    <x v="29"/>
    <x v="8"/>
    <x v="0"/>
    <x v="0"/>
    <x v="3"/>
    <x v="3"/>
    <x v="33"/>
    <x v="33"/>
    <x v="17"/>
  </r>
  <r>
    <x v="34"/>
    <x v="32"/>
    <x v="30"/>
    <x v="4"/>
    <x v="0"/>
    <x v="0"/>
    <x v="2"/>
    <x v="0"/>
    <x v="34"/>
    <x v="34"/>
    <x v="16"/>
  </r>
  <r>
    <x v="35"/>
    <x v="33"/>
    <x v="31"/>
    <x v="3"/>
    <x v="2"/>
    <x v="2"/>
    <x v="0"/>
    <x v="3"/>
    <x v="35"/>
    <x v="35"/>
    <x v="11"/>
  </r>
  <r>
    <x v="36"/>
    <x v="34"/>
    <x v="32"/>
    <x v="9"/>
    <x v="3"/>
    <x v="0"/>
    <x v="3"/>
    <x v="1"/>
    <x v="36"/>
    <x v="36"/>
    <x v="0"/>
  </r>
  <r>
    <x v="37"/>
    <x v="35"/>
    <x v="33"/>
    <x v="3"/>
    <x v="2"/>
    <x v="0"/>
    <x v="0"/>
    <x v="2"/>
    <x v="37"/>
    <x v="37"/>
    <x v="9"/>
  </r>
  <r>
    <x v="38"/>
    <x v="36"/>
    <x v="34"/>
    <x v="2"/>
    <x v="1"/>
    <x v="0"/>
    <x v="2"/>
    <x v="1"/>
    <x v="38"/>
    <x v="38"/>
    <x v="17"/>
  </r>
  <r>
    <x v="39"/>
    <x v="37"/>
    <x v="35"/>
    <x v="2"/>
    <x v="2"/>
    <x v="0"/>
    <x v="3"/>
    <x v="0"/>
    <x v="39"/>
    <x v="39"/>
    <x v="11"/>
  </r>
  <r>
    <x v="40"/>
    <x v="38"/>
    <x v="36"/>
    <x v="2"/>
    <x v="0"/>
    <x v="0"/>
    <x v="1"/>
    <x v="2"/>
    <x v="40"/>
    <x v="40"/>
    <x v="18"/>
  </r>
  <r>
    <x v="41"/>
    <x v="39"/>
    <x v="10"/>
    <x v="4"/>
    <x v="2"/>
    <x v="0"/>
    <x v="2"/>
    <x v="1"/>
    <x v="41"/>
    <x v="41"/>
    <x v="15"/>
  </r>
  <r>
    <x v="42"/>
    <x v="40"/>
    <x v="32"/>
    <x v="6"/>
    <x v="2"/>
    <x v="0"/>
    <x v="3"/>
    <x v="3"/>
    <x v="42"/>
    <x v="42"/>
    <x v="3"/>
  </r>
  <r>
    <x v="43"/>
    <x v="41"/>
    <x v="37"/>
    <x v="3"/>
    <x v="3"/>
    <x v="0"/>
    <x v="1"/>
    <x v="0"/>
    <x v="43"/>
    <x v="43"/>
    <x v="14"/>
  </r>
  <r>
    <x v="44"/>
    <x v="28"/>
    <x v="10"/>
    <x v="3"/>
    <x v="3"/>
    <x v="0"/>
    <x v="1"/>
    <x v="3"/>
    <x v="44"/>
    <x v="44"/>
    <x v="9"/>
  </r>
  <r>
    <x v="45"/>
    <x v="42"/>
    <x v="38"/>
    <x v="7"/>
    <x v="2"/>
    <x v="0"/>
    <x v="3"/>
    <x v="2"/>
    <x v="45"/>
    <x v="45"/>
    <x v="12"/>
  </r>
  <r>
    <x v="46"/>
    <x v="30"/>
    <x v="39"/>
    <x v="9"/>
    <x v="2"/>
    <x v="0"/>
    <x v="1"/>
    <x v="2"/>
    <x v="46"/>
    <x v="46"/>
    <x v="14"/>
  </r>
  <r>
    <x v="47"/>
    <x v="43"/>
    <x v="40"/>
    <x v="2"/>
    <x v="3"/>
    <x v="0"/>
    <x v="3"/>
    <x v="2"/>
    <x v="47"/>
    <x v="47"/>
    <x v="5"/>
  </r>
  <r>
    <x v="48"/>
    <x v="44"/>
    <x v="41"/>
    <x v="1"/>
    <x v="2"/>
    <x v="0"/>
    <x v="1"/>
    <x v="3"/>
    <x v="48"/>
    <x v="48"/>
    <x v="5"/>
  </r>
  <r>
    <x v="49"/>
    <x v="45"/>
    <x v="42"/>
    <x v="9"/>
    <x v="2"/>
    <x v="0"/>
    <x v="3"/>
    <x v="0"/>
    <x v="49"/>
    <x v="49"/>
    <x v="1"/>
  </r>
  <r>
    <x v="50"/>
    <x v="46"/>
    <x v="43"/>
    <x v="9"/>
    <x v="0"/>
    <x v="0"/>
    <x v="2"/>
    <x v="1"/>
    <x v="50"/>
    <x v="50"/>
    <x v="4"/>
  </r>
  <r>
    <x v="51"/>
    <x v="47"/>
    <x v="44"/>
    <x v="2"/>
    <x v="2"/>
    <x v="0"/>
    <x v="3"/>
    <x v="3"/>
    <x v="51"/>
    <x v="51"/>
    <x v="7"/>
  </r>
  <r>
    <x v="52"/>
    <x v="12"/>
    <x v="38"/>
    <x v="0"/>
    <x v="3"/>
    <x v="0"/>
    <x v="0"/>
    <x v="3"/>
    <x v="52"/>
    <x v="52"/>
    <x v="10"/>
  </r>
  <r>
    <x v="53"/>
    <x v="48"/>
    <x v="45"/>
    <x v="8"/>
    <x v="0"/>
    <x v="2"/>
    <x v="1"/>
    <x v="0"/>
    <x v="53"/>
    <x v="53"/>
    <x v="13"/>
  </r>
  <r>
    <x v="54"/>
    <x v="49"/>
    <x v="46"/>
    <x v="6"/>
    <x v="2"/>
    <x v="0"/>
    <x v="0"/>
    <x v="1"/>
    <x v="54"/>
    <x v="54"/>
    <x v="7"/>
  </r>
  <r>
    <x v="55"/>
    <x v="50"/>
    <x v="47"/>
    <x v="0"/>
    <x v="2"/>
    <x v="0"/>
    <x v="2"/>
    <x v="0"/>
    <x v="55"/>
    <x v="55"/>
    <x v="2"/>
  </r>
  <r>
    <x v="56"/>
    <x v="51"/>
    <x v="48"/>
    <x v="0"/>
    <x v="1"/>
    <x v="0"/>
    <x v="2"/>
    <x v="3"/>
    <x v="56"/>
    <x v="56"/>
    <x v="0"/>
  </r>
  <r>
    <x v="57"/>
    <x v="52"/>
    <x v="49"/>
    <x v="4"/>
    <x v="3"/>
    <x v="0"/>
    <x v="0"/>
    <x v="2"/>
    <x v="57"/>
    <x v="57"/>
    <x v="14"/>
  </r>
  <r>
    <x v="58"/>
    <x v="53"/>
    <x v="50"/>
    <x v="9"/>
    <x v="2"/>
    <x v="0"/>
    <x v="3"/>
    <x v="3"/>
    <x v="58"/>
    <x v="58"/>
    <x v="17"/>
  </r>
  <r>
    <x v="59"/>
    <x v="54"/>
    <x v="0"/>
    <x v="9"/>
    <x v="1"/>
    <x v="3"/>
    <x v="3"/>
    <x v="3"/>
    <x v="59"/>
    <x v="59"/>
    <x v="13"/>
  </r>
  <r>
    <x v="60"/>
    <x v="55"/>
    <x v="19"/>
    <x v="4"/>
    <x v="0"/>
    <x v="0"/>
    <x v="2"/>
    <x v="3"/>
    <x v="60"/>
    <x v="60"/>
    <x v="0"/>
  </r>
  <r>
    <x v="61"/>
    <x v="56"/>
    <x v="9"/>
    <x v="3"/>
    <x v="2"/>
    <x v="0"/>
    <x v="0"/>
    <x v="2"/>
    <x v="61"/>
    <x v="61"/>
    <x v="5"/>
  </r>
  <r>
    <x v="62"/>
    <x v="57"/>
    <x v="44"/>
    <x v="2"/>
    <x v="3"/>
    <x v="1"/>
    <x v="3"/>
    <x v="2"/>
    <x v="62"/>
    <x v="62"/>
    <x v="3"/>
  </r>
  <r>
    <x v="63"/>
    <x v="58"/>
    <x v="39"/>
    <x v="9"/>
    <x v="0"/>
    <x v="0"/>
    <x v="3"/>
    <x v="1"/>
    <x v="63"/>
    <x v="63"/>
    <x v="16"/>
  </r>
  <r>
    <x v="64"/>
    <x v="59"/>
    <x v="51"/>
    <x v="5"/>
    <x v="1"/>
    <x v="0"/>
    <x v="1"/>
    <x v="3"/>
    <x v="64"/>
    <x v="64"/>
    <x v="13"/>
  </r>
  <r>
    <x v="65"/>
    <x v="60"/>
    <x v="3"/>
    <x v="0"/>
    <x v="3"/>
    <x v="0"/>
    <x v="3"/>
    <x v="1"/>
    <x v="65"/>
    <x v="65"/>
    <x v="17"/>
  </r>
  <r>
    <x v="66"/>
    <x v="61"/>
    <x v="21"/>
    <x v="2"/>
    <x v="3"/>
    <x v="0"/>
    <x v="1"/>
    <x v="3"/>
    <x v="66"/>
    <x v="66"/>
    <x v="16"/>
  </r>
  <r>
    <x v="67"/>
    <x v="62"/>
    <x v="26"/>
    <x v="4"/>
    <x v="2"/>
    <x v="0"/>
    <x v="0"/>
    <x v="2"/>
    <x v="67"/>
    <x v="67"/>
    <x v="9"/>
  </r>
  <r>
    <x v="68"/>
    <x v="63"/>
    <x v="49"/>
    <x v="8"/>
    <x v="3"/>
    <x v="0"/>
    <x v="1"/>
    <x v="1"/>
    <x v="68"/>
    <x v="68"/>
    <x v="9"/>
  </r>
  <r>
    <x v="69"/>
    <x v="64"/>
    <x v="19"/>
    <x v="1"/>
    <x v="1"/>
    <x v="0"/>
    <x v="3"/>
    <x v="2"/>
    <x v="69"/>
    <x v="69"/>
    <x v="19"/>
  </r>
  <r>
    <x v="70"/>
    <x v="65"/>
    <x v="52"/>
    <x v="2"/>
    <x v="3"/>
    <x v="0"/>
    <x v="0"/>
    <x v="1"/>
    <x v="70"/>
    <x v="70"/>
    <x v="12"/>
  </r>
  <r>
    <x v="71"/>
    <x v="66"/>
    <x v="53"/>
    <x v="9"/>
    <x v="2"/>
    <x v="1"/>
    <x v="0"/>
    <x v="3"/>
    <x v="71"/>
    <x v="71"/>
    <x v="20"/>
  </r>
  <r>
    <x v="72"/>
    <x v="67"/>
    <x v="21"/>
    <x v="8"/>
    <x v="2"/>
    <x v="2"/>
    <x v="0"/>
    <x v="3"/>
    <x v="72"/>
    <x v="72"/>
    <x v="0"/>
  </r>
  <r>
    <x v="73"/>
    <x v="28"/>
    <x v="54"/>
    <x v="5"/>
    <x v="0"/>
    <x v="0"/>
    <x v="3"/>
    <x v="1"/>
    <x v="73"/>
    <x v="73"/>
    <x v="9"/>
  </r>
  <r>
    <x v="74"/>
    <x v="68"/>
    <x v="19"/>
    <x v="8"/>
    <x v="3"/>
    <x v="0"/>
    <x v="3"/>
    <x v="3"/>
    <x v="74"/>
    <x v="74"/>
    <x v="19"/>
  </r>
  <r>
    <x v="75"/>
    <x v="69"/>
    <x v="45"/>
    <x v="8"/>
    <x v="2"/>
    <x v="0"/>
    <x v="0"/>
    <x v="3"/>
    <x v="75"/>
    <x v="75"/>
    <x v="13"/>
  </r>
  <r>
    <x v="76"/>
    <x v="70"/>
    <x v="42"/>
    <x v="4"/>
    <x v="0"/>
    <x v="0"/>
    <x v="1"/>
    <x v="0"/>
    <x v="76"/>
    <x v="76"/>
    <x v="3"/>
  </r>
  <r>
    <x v="77"/>
    <x v="71"/>
    <x v="55"/>
    <x v="0"/>
    <x v="0"/>
    <x v="0"/>
    <x v="3"/>
    <x v="1"/>
    <x v="77"/>
    <x v="77"/>
    <x v="8"/>
  </r>
  <r>
    <x v="78"/>
    <x v="72"/>
    <x v="6"/>
    <x v="1"/>
    <x v="3"/>
    <x v="0"/>
    <x v="0"/>
    <x v="1"/>
    <x v="78"/>
    <x v="78"/>
    <x v="20"/>
  </r>
  <r>
    <x v="79"/>
    <x v="73"/>
    <x v="29"/>
    <x v="1"/>
    <x v="1"/>
    <x v="0"/>
    <x v="3"/>
    <x v="1"/>
    <x v="79"/>
    <x v="79"/>
    <x v="20"/>
  </r>
  <r>
    <x v="80"/>
    <x v="74"/>
    <x v="56"/>
    <x v="6"/>
    <x v="2"/>
    <x v="0"/>
    <x v="2"/>
    <x v="0"/>
    <x v="80"/>
    <x v="80"/>
    <x v="6"/>
  </r>
  <r>
    <x v="81"/>
    <x v="61"/>
    <x v="57"/>
    <x v="3"/>
    <x v="3"/>
    <x v="0"/>
    <x v="3"/>
    <x v="2"/>
    <x v="81"/>
    <x v="81"/>
    <x v="16"/>
  </r>
  <r>
    <x v="82"/>
    <x v="75"/>
    <x v="20"/>
    <x v="7"/>
    <x v="2"/>
    <x v="1"/>
    <x v="3"/>
    <x v="3"/>
    <x v="82"/>
    <x v="82"/>
    <x v="21"/>
  </r>
  <r>
    <x v="83"/>
    <x v="76"/>
    <x v="39"/>
    <x v="3"/>
    <x v="2"/>
    <x v="0"/>
    <x v="2"/>
    <x v="0"/>
    <x v="83"/>
    <x v="83"/>
    <x v="20"/>
  </r>
  <r>
    <x v="84"/>
    <x v="77"/>
    <x v="40"/>
    <x v="8"/>
    <x v="3"/>
    <x v="0"/>
    <x v="2"/>
    <x v="1"/>
    <x v="84"/>
    <x v="84"/>
    <x v="22"/>
  </r>
  <r>
    <x v="85"/>
    <x v="3"/>
    <x v="58"/>
    <x v="5"/>
    <x v="3"/>
    <x v="0"/>
    <x v="0"/>
    <x v="1"/>
    <x v="85"/>
    <x v="85"/>
    <x v="3"/>
  </r>
  <r>
    <x v="86"/>
    <x v="78"/>
    <x v="59"/>
    <x v="1"/>
    <x v="1"/>
    <x v="0"/>
    <x v="1"/>
    <x v="3"/>
    <x v="86"/>
    <x v="86"/>
    <x v="3"/>
  </r>
  <r>
    <x v="87"/>
    <x v="79"/>
    <x v="4"/>
    <x v="9"/>
    <x v="1"/>
    <x v="2"/>
    <x v="3"/>
    <x v="3"/>
    <x v="87"/>
    <x v="87"/>
    <x v="21"/>
  </r>
  <r>
    <x v="88"/>
    <x v="53"/>
    <x v="60"/>
    <x v="5"/>
    <x v="2"/>
    <x v="0"/>
    <x v="0"/>
    <x v="0"/>
    <x v="88"/>
    <x v="88"/>
    <x v="17"/>
  </r>
  <r>
    <x v="89"/>
    <x v="80"/>
    <x v="0"/>
    <x v="0"/>
    <x v="3"/>
    <x v="0"/>
    <x v="1"/>
    <x v="2"/>
    <x v="89"/>
    <x v="89"/>
    <x v="15"/>
  </r>
  <r>
    <x v="90"/>
    <x v="81"/>
    <x v="24"/>
    <x v="1"/>
    <x v="0"/>
    <x v="0"/>
    <x v="1"/>
    <x v="3"/>
    <x v="90"/>
    <x v="90"/>
    <x v="5"/>
  </r>
  <r>
    <x v="91"/>
    <x v="58"/>
    <x v="61"/>
    <x v="8"/>
    <x v="3"/>
    <x v="0"/>
    <x v="3"/>
    <x v="2"/>
    <x v="91"/>
    <x v="91"/>
    <x v="16"/>
  </r>
  <r>
    <x v="92"/>
    <x v="82"/>
    <x v="62"/>
    <x v="1"/>
    <x v="0"/>
    <x v="0"/>
    <x v="3"/>
    <x v="3"/>
    <x v="92"/>
    <x v="92"/>
    <x v="18"/>
  </r>
  <r>
    <x v="93"/>
    <x v="83"/>
    <x v="26"/>
    <x v="1"/>
    <x v="2"/>
    <x v="0"/>
    <x v="2"/>
    <x v="0"/>
    <x v="93"/>
    <x v="93"/>
    <x v="1"/>
  </r>
  <r>
    <x v="94"/>
    <x v="84"/>
    <x v="6"/>
    <x v="0"/>
    <x v="1"/>
    <x v="0"/>
    <x v="2"/>
    <x v="0"/>
    <x v="94"/>
    <x v="94"/>
    <x v="5"/>
  </r>
  <r>
    <x v="95"/>
    <x v="85"/>
    <x v="63"/>
    <x v="3"/>
    <x v="3"/>
    <x v="0"/>
    <x v="2"/>
    <x v="1"/>
    <x v="95"/>
    <x v="95"/>
    <x v="6"/>
  </r>
  <r>
    <x v="96"/>
    <x v="86"/>
    <x v="64"/>
    <x v="3"/>
    <x v="2"/>
    <x v="0"/>
    <x v="3"/>
    <x v="3"/>
    <x v="96"/>
    <x v="96"/>
    <x v="18"/>
  </r>
  <r>
    <x v="97"/>
    <x v="61"/>
    <x v="65"/>
    <x v="3"/>
    <x v="1"/>
    <x v="0"/>
    <x v="3"/>
    <x v="0"/>
    <x v="97"/>
    <x v="97"/>
    <x v="16"/>
  </r>
  <r>
    <x v="98"/>
    <x v="87"/>
    <x v="66"/>
    <x v="2"/>
    <x v="2"/>
    <x v="0"/>
    <x v="3"/>
    <x v="2"/>
    <x v="98"/>
    <x v="98"/>
    <x v="19"/>
  </r>
  <r>
    <x v="99"/>
    <x v="88"/>
    <x v="61"/>
    <x v="7"/>
    <x v="3"/>
    <x v="2"/>
    <x v="1"/>
    <x v="0"/>
    <x v="99"/>
    <x v="99"/>
    <x v="10"/>
  </r>
  <r>
    <x v="100"/>
    <x v="89"/>
    <x v="64"/>
    <x v="2"/>
    <x v="0"/>
    <x v="0"/>
    <x v="3"/>
    <x v="1"/>
    <x v="100"/>
    <x v="100"/>
    <x v="7"/>
  </r>
  <r>
    <x v="101"/>
    <x v="90"/>
    <x v="67"/>
    <x v="5"/>
    <x v="1"/>
    <x v="0"/>
    <x v="3"/>
    <x v="0"/>
    <x v="101"/>
    <x v="101"/>
    <x v="23"/>
  </r>
  <r>
    <x v="102"/>
    <x v="91"/>
    <x v="68"/>
    <x v="3"/>
    <x v="0"/>
    <x v="0"/>
    <x v="2"/>
    <x v="0"/>
    <x v="102"/>
    <x v="102"/>
    <x v="8"/>
  </r>
  <r>
    <x v="103"/>
    <x v="92"/>
    <x v="69"/>
    <x v="1"/>
    <x v="2"/>
    <x v="0"/>
    <x v="1"/>
    <x v="3"/>
    <x v="103"/>
    <x v="103"/>
    <x v="20"/>
  </r>
  <r>
    <x v="104"/>
    <x v="22"/>
    <x v="29"/>
    <x v="8"/>
    <x v="3"/>
    <x v="0"/>
    <x v="0"/>
    <x v="1"/>
    <x v="104"/>
    <x v="104"/>
    <x v="10"/>
  </r>
  <r>
    <x v="105"/>
    <x v="93"/>
    <x v="70"/>
    <x v="6"/>
    <x v="1"/>
    <x v="0"/>
    <x v="2"/>
    <x v="2"/>
    <x v="105"/>
    <x v="105"/>
    <x v="8"/>
  </r>
  <r>
    <x v="106"/>
    <x v="94"/>
    <x v="44"/>
    <x v="8"/>
    <x v="1"/>
    <x v="0"/>
    <x v="1"/>
    <x v="0"/>
    <x v="106"/>
    <x v="106"/>
    <x v="19"/>
  </r>
  <r>
    <x v="107"/>
    <x v="1"/>
    <x v="49"/>
    <x v="5"/>
    <x v="3"/>
    <x v="1"/>
    <x v="1"/>
    <x v="2"/>
    <x v="107"/>
    <x v="107"/>
    <x v="1"/>
  </r>
  <r>
    <x v="108"/>
    <x v="45"/>
    <x v="51"/>
    <x v="1"/>
    <x v="3"/>
    <x v="0"/>
    <x v="2"/>
    <x v="3"/>
    <x v="108"/>
    <x v="108"/>
    <x v="1"/>
  </r>
  <r>
    <x v="109"/>
    <x v="91"/>
    <x v="10"/>
    <x v="3"/>
    <x v="1"/>
    <x v="0"/>
    <x v="3"/>
    <x v="3"/>
    <x v="109"/>
    <x v="109"/>
    <x v="8"/>
  </r>
  <r>
    <x v="110"/>
    <x v="94"/>
    <x v="38"/>
    <x v="2"/>
    <x v="2"/>
    <x v="0"/>
    <x v="1"/>
    <x v="1"/>
    <x v="110"/>
    <x v="110"/>
    <x v="19"/>
  </r>
  <r>
    <x v="111"/>
    <x v="95"/>
    <x v="54"/>
    <x v="7"/>
    <x v="2"/>
    <x v="0"/>
    <x v="0"/>
    <x v="3"/>
    <x v="111"/>
    <x v="111"/>
    <x v="14"/>
  </r>
  <r>
    <x v="112"/>
    <x v="96"/>
    <x v="49"/>
    <x v="2"/>
    <x v="0"/>
    <x v="0"/>
    <x v="2"/>
    <x v="0"/>
    <x v="112"/>
    <x v="112"/>
    <x v="6"/>
  </r>
  <r>
    <x v="113"/>
    <x v="97"/>
    <x v="40"/>
    <x v="4"/>
    <x v="0"/>
    <x v="0"/>
    <x v="2"/>
    <x v="0"/>
    <x v="113"/>
    <x v="113"/>
    <x v="20"/>
  </r>
  <r>
    <x v="114"/>
    <x v="98"/>
    <x v="45"/>
    <x v="8"/>
    <x v="3"/>
    <x v="0"/>
    <x v="1"/>
    <x v="3"/>
    <x v="114"/>
    <x v="114"/>
    <x v="8"/>
  </r>
  <r>
    <x v="115"/>
    <x v="99"/>
    <x v="17"/>
    <x v="8"/>
    <x v="0"/>
    <x v="0"/>
    <x v="2"/>
    <x v="0"/>
    <x v="115"/>
    <x v="115"/>
    <x v="4"/>
  </r>
  <r>
    <x v="116"/>
    <x v="100"/>
    <x v="71"/>
    <x v="0"/>
    <x v="1"/>
    <x v="0"/>
    <x v="2"/>
    <x v="2"/>
    <x v="116"/>
    <x v="116"/>
    <x v="0"/>
  </r>
  <r>
    <x v="117"/>
    <x v="101"/>
    <x v="37"/>
    <x v="9"/>
    <x v="0"/>
    <x v="0"/>
    <x v="1"/>
    <x v="0"/>
    <x v="117"/>
    <x v="117"/>
    <x v="19"/>
  </r>
  <r>
    <x v="118"/>
    <x v="102"/>
    <x v="72"/>
    <x v="9"/>
    <x v="1"/>
    <x v="0"/>
    <x v="3"/>
    <x v="1"/>
    <x v="118"/>
    <x v="118"/>
    <x v="14"/>
  </r>
  <r>
    <x v="119"/>
    <x v="103"/>
    <x v="73"/>
    <x v="5"/>
    <x v="2"/>
    <x v="0"/>
    <x v="0"/>
    <x v="3"/>
    <x v="119"/>
    <x v="119"/>
    <x v="16"/>
  </r>
  <r>
    <x v="120"/>
    <x v="104"/>
    <x v="57"/>
    <x v="9"/>
    <x v="1"/>
    <x v="0"/>
    <x v="3"/>
    <x v="0"/>
    <x v="120"/>
    <x v="120"/>
    <x v="10"/>
  </r>
  <r>
    <x v="121"/>
    <x v="105"/>
    <x v="8"/>
    <x v="8"/>
    <x v="1"/>
    <x v="0"/>
    <x v="0"/>
    <x v="2"/>
    <x v="121"/>
    <x v="121"/>
    <x v="14"/>
  </r>
  <r>
    <x v="122"/>
    <x v="106"/>
    <x v="44"/>
    <x v="3"/>
    <x v="3"/>
    <x v="0"/>
    <x v="0"/>
    <x v="1"/>
    <x v="122"/>
    <x v="122"/>
    <x v="4"/>
  </r>
  <r>
    <x v="123"/>
    <x v="86"/>
    <x v="66"/>
    <x v="1"/>
    <x v="2"/>
    <x v="0"/>
    <x v="3"/>
    <x v="0"/>
    <x v="123"/>
    <x v="123"/>
    <x v="18"/>
  </r>
  <r>
    <x v="124"/>
    <x v="107"/>
    <x v="25"/>
    <x v="2"/>
    <x v="2"/>
    <x v="0"/>
    <x v="1"/>
    <x v="2"/>
    <x v="124"/>
    <x v="124"/>
    <x v="5"/>
  </r>
  <r>
    <x v="125"/>
    <x v="108"/>
    <x v="38"/>
    <x v="5"/>
    <x v="2"/>
    <x v="0"/>
    <x v="3"/>
    <x v="1"/>
    <x v="125"/>
    <x v="125"/>
    <x v="17"/>
  </r>
  <r>
    <x v="126"/>
    <x v="109"/>
    <x v="42"/>
    <x v="9"/>
    <x v="1"/>
    <x v="0"/>
    <x v="3"/>
    <x v="1"/>
    <x v="126"/>
    <x v="126"/>
    <x v="6"/>
  </r>
  <r>
    <x v="127"/>
    <x v="110"/>
    <x v="11"/>
    <x v="8"/>
    <x v="1"/>
    <x v="0"/>
    <x v="2"/>
    <x v="0"/>
    <x v="127"/>
    <x v="127"/>
    <x v="13"/>
  </r>
  <r>
    <x v="128"/>
    <x v="111"/>
    <x v="53"/>
    <x v="4"/>
    <x v="2"/>
    <x v="0"/>
    <x v="1"/>
    <x v="0"/>
    <x v="128"/>
    <x v="128"/>
    <x v="11"/>
  </r>
  <r>
    <x v="129"/>
    <x v="112"/>
    <x v="19"/>
    <x v="9"/>
    <x v="2"/>
    <x v="0"/>
    <x v="2"/>
    <x v="1"/>
    <x v="129"/>
    <x v="129"/>
    <x v="0"/>
  </r>
  <r>
    <x v="130"/>
    <x v="113"/>
    <x v="40"/>
    <x v="8"/>
    <x v="2"/>
    <x v="0"/>
    <x v="0"/>
    <x v="0"/>
    <x v="130"/>
    <x v="130"/>
    <x v="4"/>
  </r>
  <r>
    <x v="131"/>
    <x v="114"/>
    <x v="30"/>
    <x v="2"/>
    <x v="3"/>
    <x v="0"/>
    <x v="1"/>
    <x v="0"/>
    <x v="131"/>
    <x v="131"/>
    <x v="12"/>
  </r>
  <r>
    <x v="132"/>
    <x v="115"/>
    <x v="74"/>
    <x v="8"/>
    <x v="1"/>
    <x v="0"/>
    <x v="0"/>
    <x v="3"/>
    <x v="132"/>
    <x v="132"/>
    <x v="16"/>
  </r>
  <r>
    <x v="133"/>
    <x v="44"/>
    <x v="73"/>
    <x v="0"/>
    <x v="1"/>
    <x v="0"/>
    <x v="0"/>
    <x v="3"/>
    <x v="133"/>
    <x v="133"/>
    <x v="5"/>
  </r>
  <r>
    <x v="134"/>
    <x v="116"/>
    <x v="75"/>
    <x v="2"/>
    <x v="3"/>
    <x v="0"/>
    <x v="1"/>
    <x v="0"/>
    <x v="134"/>
    <x v="134"/>
    <x v="4"/>
  </r>
  <r>
    <x v="135"/>
    <x v="117"/>
    <x v="76"/>
    <x v="2"/>
    <x v="0"/>
    <x v="0"/>
    <x v="0"/>
    <x v="0"/>
    <x v="135"/>
    <x v="135"/>
    <x v="0"/>
  </r>
  <r>
    <x v="136"/>
    <x v="35"/>
    <x v="6"/>
    <x v="6"/>
    <x v="3"/>
    <x v="0"/>
    <x v="0"/>
    <x v="0"/>
    <x v="136"/>
    <x v="136"/>
    <x v="9"/>
  </r>
  <r>
    <x v="137"/>
    <x v="118"/>
    <x v="77"/>
    <x v="5"/>
    <x v="3"/>
    <x v="0"/>
    <x v="1"/>
    <x v="0"/>
    <x v="137"/>
    <x v="137"/>
    <x v="18"/>
  </r>
  <r>
    <x v="138"/>
    <x v="119"/>
    <x v="62"/>
    <x v="4"/>
    <x v="0"/>
    <x v="0"/>
    <x v="0"/>
    <x v="2"/>
    <x v="138"/>
    <x v="138"/>
    <x v="15"/>
  </r>
  <r>
    <x v="139"/>
    <x v="120"/>
    <x v="11"/>
    <x v="2"/>
    <x v="3"/>
    <x v="0"/>
    <x v="2"/>
    <x v="0"/>
    <x v="139"/>
    <x v="139"/>
    <x v="3"/>
  </r>
  <r>
    <x v="140"/>
    <x v="40"/>
    <x v="78"/>
    <x v="8"/>
    <x v="0"/>
    <x v="0"/>
    <x v="1"/>
    <x v="2"/>
    <x v="140"/>
    <x v="140"/>
    <x v="3"/>
  </r>
  <r>
    <x v="141"/>
    <x v="121"/>
    <x v="34"/>
    <x v="4"/>
    <x v="0"/>
    <x v="0"/>
    <x v="1"/>
    <x v="2"/>
    <x v="141"/>
    <x v="141"/>
    <x v="22"/>
  </r>
  <r>
    <x v="142"/>
    <x v="122"/>
    <x v="61"/>
    <x v="6"/>
    <x v="3"/>
    <x v="0"/>
    <x v="3"/>
    <x v="1"/>
    <x v="142"/>
    <x v="142"/>
    <x v="12"/>
  </r>
  <r>
    <x v="143"/>
    <x v="0"/>
    <x v="47"/>
    <x v="7"/>
    <x v="0"/>
    <x v="0"/>
    <x v="3"/>
    <x v="2"/>
    <x v="143"/>
    <x v="143"/>
    <x v="0"/>
  </r>
  <r>
    <x v="144"/>
    <x v="123"/>
    <x v="6"/>
    <x v="9"/>
    <x v="0"/>
    <x v="0"/>
    <x v="0"/>
    <x v="3"/>
    <x v="144"/>
    <x v="144"/>
    <x v="23"/>
  </r>
  <r>
    <x v="145"/>
    <x v="124"/>
    <x v="51"/>
    <x v="0"/>
    <x v="2"/>
    <x v="0"/>
    <x v="0"/>
    <x v="1"/>
    <x v="145"/>
    <x v="145"/>
    <x v="15"/>
  </r>
  <r>
    <x v="146"/>
    <x v="4"/>
    <x v="20"/>
    <x v="5"/>
    <x v="0"/>
    <x v="0"/>
    <x v="0"/>
    <x v="0"/>
    <x v="146"/>
    <x v="146"/>
    <x v="4"/>
  </r>
  <r>
    <x v="147"/>
    <x v="125"/>
    <x v="14"/>
    <x v="4"/>
    <x v="0"/>
    <x v="0"/>
    <x v="2"/>
    <x v="1"/>
    <x v="147"/>
    <x v="147"/>
    <x v="17"/>
  </r>
  <r>
    <x v="148"/>
    <x v="126"/>
    <x v="56"/>
    <x v="1"/>
    <x v="2"/>
    <x v="0"/>
    <x v="1"/>
    <x v="1"/>
    <x v="148"/>
    <x v="148"/>
    <x v="2"/>
  </r>
  <r>
    <x v="149"/>
    <x v="127"/>
    <x v="50"/>
    <x v="2"/>
    <x v="1"/>
    <x v="0"/>
    <x v="0"/>
    <x v="0"/>
    <x v="149"/>
    <x v="149"/>
    <x v="10"/>
  </r>
  <r>
    <x v="150"/>
    <x v="128"/>
    <x v="79"/>
    <x v="3"/>
    <x v="0"/>
    <x v="0"/>
    <x v="2"/>
    <x v="2"/>
    <x v="150"/>
    <x v="150"/>
    <x v="1"/>
  </r>
  <r>
    <x v="151"/>
    <x v="129"/>
    <x v="77"/>
    <x v="0"/>
    <x v="1"/>
    <x v="0"/>
    <x v="3"/>
    <x v="3"/>
    <x v="151"/>
    <x v="151"/>
    <x v="16"/>
  </r>
  <r>
    <x v="152"/>
    <x v="130"/>
    <x v="41"/>
    <x v="9"/>
    <x v="0"/>
    <x v="0"/>
    <x v="0"/>
    <x v="0"/>
    <x v="152"/>
    <x v="152"/>
    <x v="21"/>
  </r>
  <r>
    <x v="153"/>
    <x v="131"/>
    <x v="6"/>
    <x v="2"/>
    <x v="0"/>
    <x v="0"/>
    <x v="3"/>
    <x v="1"/>
    <x v="153"/>
    <x v="153"/>
    <x v="23"/>
  </r>
  <r>
    <x v="154"/>
    <x v="6"/>
    <x v="49"/>
    <x v="1"/>
    <x v="1"/>
    <x v="0"/>
    <x v="1"/>
    <x v="3"/>
    <x v="154"/>
    <x v="154"/>
    <x v="5"/>
  </r>
  <r>
    <x v="155"/>
    <x v="132"/>
    <x v="80"/>
    <x v="6"/>
    <x v="2"/>
    <x v="0"/>
    <x v="3"/>
    <x v="2"/>
    <x v="155"/>
    <x v="155"/>
    <x v="6"/>
  </r>
  <r>
    <x v="156"/>
    <x v="133"/>
    <x v="76"/>
    <x v="8"/>
    <x v="1"/>
    <x v="0"/>
    <x v="0"/>
    <x v="1"/>
    <x v="156"/>
    <x v="156"/>
    <x v="16"/>
  </r>
  <r>
    <x v="157"/>
    <x v="6"/>
    <x v="41"/>
    <x v="0"/>
    <x v="2"/>
    <x v="0"/>
    <x v="1"/>
    <x v="1"/>
    <x v="157"/>
    <x v="157"/>
    <x v="5"/>
  </r>
  <r>
    <x v="158"/>
    <x v="134"/>
    <x v="65"/>
    <x v="7"/>
    <x v="3"/>
    <x v="0"/>
    <x v="2"/>
    <x v="3"/>
    <x v="158"/>
    <x v="158"/>
    <x v="16"/>
  </r>
  <r>
    <x v="159"/>
    <x v="135"/>
    <x v="10"/>
    <x v="9"/>
    <x v="0"/>
    <x v="0"/>
    <x v="0"/>
    <x v="1"/>
    <x v="159"/>
    <x v="159"/>
    <x v="2"/>
  </r>
  <r>
    <x v="160"/>
    <x v="136"/>
    <x v="81"/>
    <x v="9"/>
    <x v="3"/>
    <x v="0"/>
    <x v="3"/>
    <x v="3"/>
    <x v="160"/>
    <x v="160"/>
    <x v="13"/>
  </r>
  <r>
    <x v="161"/>
    <x v="137"/>
    <x v="22"/>
    <x v="0"/>
    <x v="3"/>
    <x v="0"/>
    <x v="1"/>
    <x v="1"/>
    <x v="161"/>
    <x v="161"/>
    <x v="2"/>
  </r>
  <r>
    <x v="162"/>
    <x v="138"/>
    <x v="60"/>
    <x v="0"/>
    <x v="2"/>
    <x v="0"/>
    <x v="1"/>
    <x v="1"/>
    <x v="162"/>
    <x v="162"/>
    <x v="22"/>
  </r>
  <r>
    <x v="163"/>
    <x v="139"/>
    <x v="71"/>
    <x v="9"/>
    <x v="2"/>
    <x v="0"/>
    <x v="1"/>
    <x v="3"/>
    <x v="163"/>
    <x v="163"/>
    <x v="2"/>
  </r>
  <r>
    <x v="164"/>
    <x v="140"/>
    <x v="12"/>
    <x v="2"/>
    <x v="2"/>
    <x v="0"/>
    <x v="3"/>
    <x v="3"/>
    <x v="164"/>
    <x v="164"/>
    <x v="2"/>
  </r>
  <r>
    <x v="165"/>
    <x v="141"/>
    <x v="82"/>
    <x v="5"/>
    <x v="0"/>
    <x v="1"/>
    <x v="2"/>
    <x v="2"/>
    <x v="165"/>
    <x v="165"/>
    <x v="12"/>
  </r>
  <r>
    <x v="166"/>
    <x v="142"/>
    <x v="80"/>
    <x v="2"/>
    <x v="0"/>
    <x v="0"/>
    <x v="3"/>
    <x v="0"/>
    <x v="166"/>
    <x v="166"/>
    <x v="10"/>
  </r>
  <r>
    <x v="167"/>
    <x v="143"/>
    <x v="0"/>
    <x v="3"/>
    <x v="0"/>
    <x v="0"/>
    <x v="1"/>
    <x v="1"/>
    <x v="167"/>
    <x v="167"/>
    <x v="1"/>
  </r>
  <r>
    <x v="168"/>
    <x v="91"/>
    <x v="7"/>
    <x v="5"/>
    <x v="2"/>
    <x v="0"/>
    <x v="1"/>
    <x v="3"/>
    <x v="168"/>
    <x v="168"/>
    <x v="8"/>
  </r>
  <r>
    <x v="169"/>
    <x v="122"/>
    <x v="37"/>
    <x v="4"/>
    <x v="2"/>
    <x v="0"/>
    <x v="3"/>
    <x v="3"/>
    <x v="169"/>
    <x v="169"/>
    <x v="12"/>
  </r>
  <r>
    <x v="170"/>
    <x v="144"/>
    <x v="83"/>
    <x v="9"/>
    <x v="1"/>
    <x v="0"/>
    <x v="3"/>
    <x v="3"/>
    <x v="170"/>
    <x v="170"/>
    <x v="5"/>
  </r>
  <r>
    <x v="171"/>
    <x v="145"/>
    <x v="84"/>
    <x v="2"/>
    <x v="2"/>
    <x v="0"/>
    <x v="3"/>
    <x v="1"/>
    <x v="171"/>
    <x v="171"/>
    <x v="4"/>
  </r>
  <r>
    <x v="172"/>
    <x v="146"/>
    <x v="85"/>
    <x v="8"/>
    <x v="1"/>
    <x v="0"/>
    <x v="3"/>
    <x v="0"/>
    <x v="172"/>
    <x v="172"/>
    <x v="19"/>
  </r>
  <r>
    <x v="173"/>
    <x v="147"/>
    <x v="77"/>
    <x v="8"/>
    <x v="3"/>
    <x v="0"/>
    <x v="3"/>
    <x v="0"/>
    <x v="173"/>
    <x v="173"/>
    <x v="8"/>
  </r>
  <r>
    <x v="174"/>
    <x v="148"/>
    <x v="55"/>
    <x v="7"/>
    <x v="1"/>
    <x v="0"/>
    <x v="0"/>
    <x v="1"/>
    <x v="174"/>
    <x v="174"/>
    <x v="11"/>
  </r>
  <r>
    <x v="175"/>
    <x v="149"/>
    <x v="27"/>
    <x v="1"/>
    <x v="0"/>
    <x v="0"/>
    <x v="1"/>
    <x v="3"/>
    <x v="175"/>
    <x v="175"/>
    <x v="12"/>
  </r>
  <r>
    <x v="176"/>
    <x v="77"/>
    <x v="39"/>
    <x v="3"/>
    <x v="0"/>
    <x v="0"/>
    <x v="2"/>
    <x v="3"/>
    <x v="176"/>
    <x v="176"/>
    <x v="22"/>
  </r>
  <r>
    <x v="177"/>
    <x v="150"/>
    <x v="86"/>
    <x v="5"/>
    <x v="0"/>
    <x v="0"/>
    <x v="2"/>
    <x v="1"/>
    <x v="177"/>
    <x v="177"/>
    <x v="14"/>
  </r>
  <r>
    <x v="178"/>
    <x v="151"/>
    <x v="34"/>
    <x v="6"/>
    <x v="1"/>
    <x v="0"/>
    <x v="2"/>
    <x v="1"/>
    <x v="178"/>
    <x v="178"/>
    <x v="8"/>
  </r>
  <r>
    <x v="179"/>
    <x v="152"/>
    <x v="55"/>
    <x v="7"/>
    <x v="0"/>
    <x v="0"/>
    <x v="1"/>
    <x v="2"/>
    <x v="179"/>
    <x v="179"/>
    <x v="16"/>
  </r>
  <r>
    <x v="180"/>
    <x v="60"/>
    <x v="51"/>
    <x v="1"/>
    <x v="0"/>
    <x v="0"/>
    <x v="1"/>
    <x v="0"/>
    <x v="180"/>
    <x v="180"/>
    <x v="17"/>
  </r>
  <r>
    <x v="181"/>
    <x v="130"/>
    <x v="66"/>
    <x v="8"/>
    <x v="3"/>
    <x v="0"/>
    <x v="1"/>
    <x v="3"/>
    <x v="181"/>
    <x v="181"/>
    <x v="21"/>
  </r>
  <r>
    <x v="182"/>
    <x v="153"/>
    <x v="23"/>
    <x v="0"/>
    <x v="2"/>
    <x v="0"/>
    <x v="1"/>
    <x v="2"/>
    <x v="182"/>
    <x v="182"/>
    <x v="0"/>
  </r>
  <r>
    <x v="183"/>
    <x v="154"/>
    <x v="87"/>
    <x v="0"/>
    <x v="1"/>
    <x v="0"/>
    <x v="2"/>
    <x v="2"/>
    <x v="183"/>
    <x v="183"/>
    <x v="3"/>
  </r>
  <r>
    <x v="184"/>
    <x v="155"/>
    <x v="88"/>
    <x v="5"/>
    <x v="0"/>
    <x v="0"/>
    <x v="1"/>
    <x v="1"/>
    <x v="184"/>
    <x v="184"/>
    <x v="2"/>
  </r>
  <r>
    <x v="185"/>
    <x v="15"/>
    <x v="75"/>
    <x v="5"/>
    <x v="3"/>
    <x v="0"/>
    <x v="3"/>
    <x v="2"/>
    <x v="185"/>
    <x v="185"/>
    <x v="9"/>
  </r>
  <r>
    <x v="186"/>
    <x v="156"/>
    <x v="89"/>
    <x v="0"/>
    <x v="3"/>
    <x v="0"/>
    <x v="0"/>
    <x v="3"/>
    <x v="186"/>
    <x v="186"/>
    <x v="16"/>
  </r>
  <r>
    <x v="187"/>
    <x v="22"/>
    <x v="76"/>
    <x v="9"/>
    <x v="0"/>
    <x v="0"/>
    <x v="0"/>
    <x v="2"/>
    <x v="187"/>
    <x v="187"/>
    <x v="10"/>
  </r>
  <r>
    <x v="188"/>
    <x v="43"/>
    <x v="3"/>
    <x v="0"/>
    <x v="0"/>
    <x v="0"/>
    <x v="2"/>
    <x v="3"/>
    <x v="188"/>
    <x v="188"/>
    <x v="5"/>
  </r>
  <r>
    <x v="189"/>
    <x v="157"/>
    <x v="90"/>
    <x v="8"/>
    <x v="2"/>
    <x v="0"/>
    <x v="3"/>
    <x v="2"/>
    <x v="189"/>
    <x v="189"/>
    <x v="15"/>
  </r>
  <r>
    <x v="190"/>
    <x v="36"/>
    <x v="31"/>
    <x v="5"/>
    <x v="3"/>
    <x v="0"/>
    <x v="3"/>
    <x v="2"/>
    <x v="190"/>
    <x v="190"/>
    <x v="17"/>
  </r>
  <r>
    <x v="191"/>
    <x v="158"/>
    <x v="21"/>
    <x v="9"/>
    <x v="1"/>
    <x v="0"/>
    <x v="2"/>
    <x v="1"/>
    <x v="191"/>
    <x v="191"/>
    <x v="8"/>
  </r>
  <r>
    <x v="192"/>
    <x v="159"/>
    <x v="91"/>
    <x v="5"/>
    <x v="2"/>
    <x v="0"/>
    <x v="0"/>
    <x v="0"/>
    <x v="192"/>
    <x v="192"/>
    <x v="11"/>
  </r>
  <r>
    <x v="193"/>
    <x v="160"/>
    <x v="14"/>
    <x v="9"/>
    <x v="2"/>
    <x v="0"/>
    <x v="1"/>
    <x v="2"/>
    <x v="193"/>
    <x v="193"/>
    <x v="19"/>
  </r>
  <r>
    <x v="194"/>
    <x v="161"/>
    <x v="29"/>
    <x v="4"/>
    <x v="0"/>
    <x v="0"/>
    <x v="0"/>
    <x v="3"/>
    <x v="194"/>
    <x v="194"/>
    <x v="2"/>
  </r>
  <r>
    <x v="195"/>
    <x v="162"/>
    <x v="36"/>
    <x v="7"/>
    <x v="3"/>
    <x v="0"/>
    <x v="2"/>
    <x v="3"/>
    <x v="195"/>
    <x v="195"/>
    <x v="21"/>
  </r>
  <r>
    <x v="196"/>
    <x v="163"/>
    <x v="92"/>
    <x v="2"/>
    <x v="0"/>
    <x v="0"/>
    <x v="0"/>
    <x v="1"/>
    <x v="196"/>
    <x v="196"/>
    <x v="14"/>
  </r>
  <r>
    <x v="197"/>
    <x v="164"/>
    <x v="78"/>
    <x v="2"/>
    <x v="2"/>
    <x v="0"/>
    <x v="2"/>
    <x v="3"/>
    <x v="197"/>
    <x v="197"/>
    <x v="7"/>
  </r>
  <r>
    <x v="198"/>
    <x v="165"/>
    <x v="69"/>
    <x v="3"/>
    <x v="0"/>
    <x v="0"/>
    <x v="3"/>
    <x v="1"/>
    <x v="198"/>
    <x v="198"/>
    <x v="1"/>
  </r>
  <r>
    <x v="199"/>
    <x v="166"/>
    <x v="86"/>
    <x v="1"/>
    <x v="2"/>
    <x v="0"/>
    <x v="2"/>
    <x v="2"/>
    <x v="199"/>
    <x v="199"/>
    <x v="20"/>
  </r>
  <r>
    <x v="200"/>
    <x v="9"/>
    <x v="27"/>
    <x v="7"/>
    <x v="0"/>
    <x v="0"/>
    <x v="1"/>
    <x v="3"/>
    <x v="200"/>
    <x v="200"/>
    <x v="8"/>
  </r>
  <r>
    <x v="201"/>
    <x v="30"/>
    <x v="93"/>
    <x v="6"/>
    <x v="2"/>
    <x v="0"/>
    <x v="1"/>
    <x v="1"/>
    <x v="201"/>
    <x v="201"/>
    <x v="14"/>
  </r>
  <r>
    <x v="202"/>
    <x v="167"/>
    <x v="94"/>
    <x v="4"/>
    <x v="1"/>
    <x v="0"/>
    <x v="0"/>
    <x v="0"/>
    <x v="202"/>
    <x v="202"/>
    <x v="5"/>
  </r>
  <r>
    <x v="203"/>
    <x v="168"/>
    <x v="78"/>
    <x v="0"/>
    <x v="1"/>
    <x v="0"/>
    <x v="3"/>
    <x v="1"/>
    <x v="203"/>
    <x v="203"/>
    <x v="20"/>
  </r>
  <r>
    <x v="204"/>
    <x v="8"/>
    <x v="49"/>
    <x v="4"/>
    <x v="2"/>
    <x v="0"/>
    <x v="3"/>
    <x v="0"/>
    <x v="204"/>
    <x v="204"/>
    <x v="7"/>
  </r>
  <r>
    <x v="205"/>
    <x v="169"/>
    <x v="33"/>
    <x v="0"/>
    <x v="3"/>
    <x v="1"/>
    <x v="1"/>
    <x v="0"/>
    <x v="205"/>
    <x v="205"/>
    <x v="3"/>
  </r>
  <r>
    <x v="206"/>
    <x v="170"/>
    <x v="47"/>
    <x v="1"/>
    <x v="2"/>
    <x v="0"/>
    <x v="0"/>
    <x v="3"/>
    <x v="206"/>
    <x v="206"/>
    <x v="8"/>
  </r>
  <r>
    <x v="207"/>
    <x v="171"/>
    <x v="55"/>
    <x v="4"/>
    <x v="1"/>
    <x v="0"/>
    <x v="3"/>
    <x v="3"/>
    <x v="207"/>
    <x v="207"/>
    <x v="15"/>
  </r>
  <r>
    <x v="208"/>
    <x v="172"/>
    <x v="95"/>
    <x v="7"/>
    <x v="2"/>
    <x v="0"/>
    <x v="1"/>
    <x v="1"/>
    <x v="208"/>
    <x v="208"/>
    <x v="10"/>
  </r>
  <r>
    <x v="209"/>
    <x v="15"/>
    <x v="90"/>
    <x v="5"/>
    <x v="1"/>
    <x v="0"/>
    <x v="0"/>
    <x v="0"/>
    <x v="209"/>
    <x v="209"/>
    <x v="9"/>
  </r>
  <r>
    <x v="210"/>
    <x v="173"/>
    <x v="9"/>
    <x v="9"/>
    <x v="1"/>
    <x v="0"/>
    <x v="3"/>
    <x v="0"/>
    <x v="210"/>
    <x v="210"/>
    <x v="20"/>
  </r>
  <r>
    <x v="211"/>
    <x v="174"/>
    <x v="55"/>
    <x v="8"/>
    <x v="0"/>
    <x v="0"/>
    <x v="3"/>
    <x v="0"/>
    <x v="211"/>
    <x v="211"/>
    <x v="21"/>
  </r>
  <r>
    <x v="212"/>
    <x v="175"/>
    <x v="47"/>
    <x v="0"/>
    <x v="1"/>
    <x v="2"/>
    <x v="0"/>
    <x v="1"/>
    <x v="212"/>
    <x v="212"/>
    <x v="14"/>
  </r>
  <r>
    <x v="213"/>
    <x v="35"/>
    <x v="26"/>
    <x v="8"/>
    <x v="0"/>
    <x v="0"/>
    <x v="1"/>
    <x v="2"/>
    <x v="213"/>
    <x v="213"/>
    <x v="9"/>
  </r>
  <r>
    <x v="214"/>
    <x v="59"/>
    <x v="47"/>
    <x v="1"/>
    <x v="0"/>
    <x v="0"/>
    <x v="0"/>
    <x v="1"/>
    <x v="214"/>
    <x v="214"/>
    <x v="13"/>
  </r>
  <r>
    <x v="215"/>
    <x v="3"/>
    <x v="1"/>
    <x v="9"/>
    <x v="0"/>
    <x v="0"/>
    <x v="1"/>
    <x v="3"/>
    <x v="215"/>
    <x v="215"/>
    <x v="3"/>
  </r>
  <r>
    <x v="216"/>
    <x v="149"/>
    <x v="85"/>
    <x v="3"/>
    <x v="2"/>
    <x v="0"/>
    <x v="2"/>
    <x v="3"/>
    <x v="216"/>
    <x v="216"/>
    <x v="12"/>
  </r>
  <r>
    <x v="217"/>
    <x v="176"/>
    <x v="57"/>
    <x v="6"/>
    <x v="3"/>
    <x v="0"/>
    <x v="1"/>
    <x v="1"/>
    <x v="217"/>
    <x v="217"/>
    <x v="8"/>
  </r>
  <r>
    <x v="218"/>
    <x v="153"/>
    <x v="28"/>
    <x v="3"/>
    <x v="3"/>
    <x v="0"/>
    <x v="1"/>
    <x v="0"/>
    <x v="218"/>
    <x v="218"/>
    <x v="0"/>
  </r>
  <r>
    <x v="219"/>
    <x v="79"/>
    <x v="41"/>
    <x v="5"/>
    <x v="3"/>
    <x v="0"/>
    <x v="0"/>
    <x v="2"/>
    <x v="219"/>
    <x v="219"/>
    <x v="21"/>
  </r>
  <r>
    <x v="220"/>
    <x v="177"/>
    <x v="59"/>
    <x v="6"/>
    <x v="0"/>
    <x v="0"/>
    <x v="1"/>
    <x v="0"/>
    <x v="220"/>
    <x v="220"/>
    <x v="16"/>
  </r>
  <r>
    <x v="221"/>
    <x v="178"/>
    <x v="86"/>
    <x v="0"/>
    <x v="0"/>
    <x v="0"/>
    <x v="1"/>
    <x v="0"/>
    <x v="221"/>
    <x v="221"/>
    <x v="16"/>
  </r>
  <r>
    <x v="222"/>
    <x v="179"/>
    <x v="65"/>
    <x v="5"/>
    <x v="3"/>
    <x v="0"/>
    <x v="1"/>
    <x v="2"/>
    <x v="222"/>
    <x v="222"/>
    <x v="22"/>
  </r>
  <r>
    <x v="223"/>
    <x v="180"/>
    <x v="96"/>
    <x v="2"/>
    <x v="0"/>
    <x v="0"/>
    <x v="0"/>
    <x v="0"/>
    <x v="223"/>
    <x v="223"/>
    <x v="0"/>
  </r>
  <r>
    <x v="224"/>
    <x v="181"/>
    <x v="97"/>
    <x v="1"/>
    <x v="1"/>
    <x v="0"/>
    <x v="1"/>
    <x v="1"/>
    <x v="224"/>
    <x v="224"/>
    <x v="5"/>
  </r>
  <r>
    <x v="225"/>
    <x v="182"/>
    <x v="34"/>
    <x v="8"/>
    <x v="3"/>
    <x v="0"/>
    <x v="3"/>
    <x v="0"/>
    <x v="225"/>
    <x v="225"/>
    <x v="0"/>
  </r>
  <r>
    <x v="226"/>
    <x v="183"/>
    <x v="30"/>
    <x v="2"/>
    <x v="3"/>
    <x v="0"/>
    <x v="1"/>
    <x v="0"/>
    <x v="226"/>
    <x v="226"/>
    <x v="14"/>
  </r>
  <r>
    <x v="227"/>
    <x v="184"/>
    <x v="98"/>
    <x v="0"/>
    <x v="3"/>
    <x v="2"/>
    <x v="3"/>
    <x v="3"/>
    <x v="227"/>
    <x v="227"/>
    <x v="10"/>
  </r>
  <r>
    <x v="228"/>
    <x v="185"/>
    <x v="30"/>
    <x v="0"/>
    <x v="2"/>
    <x v="0"/>
    <x v="2"/>
    <x v="0"/>
    <x v="228"/>
    <x v="228"/>
    <x v="6"/>
  </r>
  <r>
    <x v="229"/>
    <x v="30"/>
    <x v="92"/>
    <x v="3"/>
    <x v="2"/>
    <x v="0"/>
    <x v="0"/>
    <x v="1"/>
    <x v="229"/>
    <x v="229"/>
    <x v="14"/>
  </r>
  <r>
    <x v="230"/>
    <x v="186"/>
    <x v="27"/>
    <x v="1"/>
    <x v="3"/>
    <x v="0"/>
    <x v="2"/>
    <x v="3"/>
    <x v="230"/>
    <x v="230"/>
    <x v="10"/>
  </r>
  <r>
    <x v="231"/>
    <x v="162"/>
    <x v="99"/>
    <x v="1"/>
    <x v="3"/>
    <x v="0"/>
    <x v="0"/>
    <x v="2"/>
    <x v="231"/>
    <x v="231"/>
    <x v="21"/>
  </r>
  <r>
    <x v="232"/>
    <x v="115"/>
    <x v="60"/>
    <x v="1"/>
    <x v="1"/>
    <x v="0"/>
    <x v="2"/>
    <x v="2"/>
    <x v="232"/>
    <x v="232"/>
    <x v="16"/>
  </r>
  <r>
    <x v="233"/>
    <x v="187"/>
    <x v="5"/>
    <x v="6"/>
    <x v="2"/>
    <x v="2"/>
    <x v="1"/>
    <x v="3"/>
    <x v="233"/>
    <x v="233"/>
    <x v="21"/>
  </r>
  <r>
    <x v="234"/>
    <x v="188"/>
    <x v="13"/>
    <x v="5"/>
    <x v="1"/>
    <x v="0"/>
    <x v="1"/>
    <x v="1"/>
    <x v="234"/>
    <x v="234"/>
    <x v="5"/>
  </r>
  <r>
    <x v="235"/>
    <x v="189"/>
    <x v="25"/>
    <x v="5"/>
    <x v="0"/>
    <x v="0"/>
    <x v="2"/>
    <x v="1"/>
    <x v="235"/>
    <x v="235"/>
    <x v="17"/>
  </r>
  <r>
    <x v="236"/>
    <x v="182"/>
    <x v="98"/>
    <x v="2"/>
    <x v="2"/>
    <x v="0"/>
    <x v="2"/>
    <x v="3"/>
    <x v="236"/>
    <x v="236"/>
    <x v="0"/>
  </r>
  <r>
    <x v="237"/>
    <x v="56"/>
    <x v="56"/>
    <x v="8"/>
    <x v="0"/>
    <x v="0"/>
    <x v="2"/>
    <x v="3"/>
    <x v="237"/>
    <x v="237"/>
    <x v="5"/>
  </r>
  <r>
    <x v="238"/>
    <x v="89"/>
    <x v="25"/>
    <x v="9"/>
    <x v="3"/>
    <x v="0"/>
    <x v="0"/>
    <x v="3"/>
    <x v="238"/>
    <x v="238"/>
    <x v="7"/>
  </r>
  <r>
    <x v="239"/>
    <x v="190"/>
    <x v="90"/>
    <x v="4"/>
    <x v="2"/>
    <x v="0"/>
    <x v="1"/>
    <x v="0"/>
    <x v="239"/>
    <x v="239"/>
    <x v="22"/>
  </r>
  <r>
    <x v="240"/>
    <x v="191"/>
    <x v="35"/>
    <x v="0"/>
    <x v="2"/>
    <x v="0"/>
    <x v="3"/>
    <x v="1"/>
    <x v="240"/>
    <x v="240"/>
    <x v="5"/>
  </r>
  <r>
    <x v="241"/>
    <x v="185"/>
    <x v="63"/>
    <x v="9"/>
    <x v="1"/>
    <x v="0"/>
    <x v="2"/>
    <x v="2"/>
    <x v="241"/>
    <x v="241"/>
    <x v="6"/>
  </r>
  <r>
    <x v="242"/>
    <x v="192"/>
    <x v="100"/>
    <x v="8"/>
    <x v="1"/>
    <x v="0"/>
    <x v="2"/>
    <x v="3"/>
    <x v="242"/>
    <x v="242"/>
    <x v="7"/>
  </r>
  <r>
    <x v="243"/>
    <x v="193"/>
    <x v="18"/>
    <x v="9"/>
    <x v="2"/>
    <x v="0"/>
    <x v="0"/>
    <x v="0"/>
    <x v="243"/>
    <x v="243"/>
    <x v="19"/>
  </r>
  <r>
    <x v="244"/>
    <x v="194"/>
    <x v="61"/>
    <x v="7"/>
    <x v="0"/>
    <x v="2"/>
    <x v="0"/>
    <x v="3"/>
    <x v="244"/>
    <x v="244"/>
    <x v="9"/>
  </r>
  <r>
    <x v="245"/>
    <x v="195"/>
    <x v="64"/>
    <x v="0"/>
    <x v="3"/>
    <x v="0"/>
    <x v="1"/>
    <x v="1"/>
    <x v="245"/>
    <x v="245"/>
    <x v="7"/>
  </r>
  <r>
    <x v="246"/>
    <x v="196"/>
    <x v="87"/>
    <x v="1"/>
    <x v="1"/>
    <x v="0"/>
    <x v="2"/>
    <x v="1"/>
    <x v="246"/>
    <x v="246"/>
    <x v="1"/>
  </r>
  <r>
    <x v="247"/>
    <x v="197"/>
    <x v="100"/>
    <x v="9"/>
    <x v="2"/>
    <x v="0"/>
    <x v="3"/>
    <x v="3"/>
    <x v="247"/>
    <x v="247"/>
    <x v="23"/>
  </r>
  <r>
    <x v="248"/>
    <x v="144"/>
    <x v="101"/>
    <x v="0"/>
    <x v="2"/>
    <x v="0"/>
    <x v="1"/>
    <x v="3"/>
    <x v="248"/>
    <x v="248"/>
    <x v="5"/>
  </r>
  <r>
    <x v="249"/>
    <x v="198"/>
    <x v="87"/>
    <x v="2"/>
    <x v="2"/>
    <x v="0"/>
    <x v="0"/>
    <x v="2"/>
    <x v="249"/>
    <x v="249"/>
    <x v="19"/>
  </r>
  <r>
    <x v="250"/>
    <x v="199"/>
    <x v="61"/>
    <x v="5"/>
    <x v="0"/>
    <x v="3"/>
    <x v="3"/>
    <x v="1"/>
    <x v="250"/>
    <x v="250"/>
    <x v="14"/>
  </r>
  <r>
    <x v="251"/>
    <x v="200"/>
    <x v="21"/>
    <x v="5"/>
    <x v="1"/>
    <x v="0"/>
    <x v="2"/>
    <x v="1"/>
    <x v="251"/>
    <x v="251"/>
    <x v="13"/>
  </r>
  <r>
    <x v="252"/>
    <x v="127"/>
    <x v="44"/>
    <x v="7"/>
    <x v="3"/>
    <x v="0"/>
    <x v="2"/>
    <x v="0"/>
    <x v="252"/>
    <x v="252"/>
    <x v="10"/>
  </r>
  <r>
    <x v="253"/>
    <x v="201"/>
    <x v="45"/>
    <x v="3"/>
    <x v="0"/>
    <x v="0"/>
    <x v="2"/>
    <x v="1"/>
    <x v="253"/>
    <x v="253"/>
    <x v="5"/>
  </r>
  <r>
    <x v="254"/>
    <x v="194"/>
    <x v="97"/>
    <x v="1"/>
    <x v="3"/>
    <x v="0"/>
    <x v="2"/>
    <x v="2"/>
    <x v="254"/>
    <x v="254"/>
    <x v="9"/>
  </r>
  <r>
    <x v="255"/>
    <x v="202"/>
    <x v="86"/>
    <x v="3"/>
    <x v="0"/>
    <x v="0"/>
    <x v="3"/>
    <x v="1"/>
    <x v="255"/>
    <x v="255"/>
    <x v="12"/>
  </r>
  <r>
    <x v="256"/>
    <x v="203"/>
    <x v="101"/>
    <x v="5"/>
    <x v="0"/>
    <x v="0"/>
    <x v="0"/>
    <x v="3"/>
    <x v="256"/>
    <x v="256"/>
    <x v="19"/>
  </r>
  <r>
    <x v="257"/>
    <x v="104"/>
    <x v="58"/>
    <x v="0"/>
    <x v="0"/>
    <x v="0"/>
    <x v="3"/>
    <x v="3"/>
    <x v="257"/>
    <x v="257"/>
    <x v="10"/>
  </r>
  <r>
    <x v="258"/>
    <x v="204"/>
    <x v="92"/>
    <x v="8"/>
    <x v="3"/>
    <x v="0"/>
    <x v="3"/>
    <x v="2"/>
    <x v="258"/>
    <x v="258"/>
    <x v="15"/>
  </r>
  <r>
    <x v="259"/>
    <x v="205"/>
    <x v="102"/>
    <x v="5"/>
    <x v="2"/>
    <x v="0"/>
    <x v="0"/>
    <x v="3"/>
    <x v="259"/>
    <x v="259"/>
    <x v="3"/>
  </r>
  <r>
    <x v="260"/>
    <x v="206"/>
    <x v="62"/>
    <x v="8"/>
    <x v="3"/>
    <x v="0"/>
    <x v="1"/>
    <x v="1"/>
    <x v="260"/>
    <x v="260"/>
    <x v="1"/>
  </r>
  <r>
    <x v="261"/>
    <x v="19"/>
    <x v="86"/>
    <x v="2"/>
    <x v="2"/>
    <x v="2"/>
    <x v="3"/>
    <x v="0"/>
    <x v="261"/>
    <x v="261"/>
    <x v="8"/>
  </r>
  <r>
    <x v="262"/>
    <x v="207"/>
    <x v="76"/>
    <x v="1"/>
    <x v="0"/>
    <x v="0"/>
    <x v="0"/>
    <x v="0"/>
    <x v="262"/>
    <x v="262"/>
    <x v="1"/>
  </r>
  <r>
    <x v="263"/>
    <x v="208"/>
    <x v="86"/>
    <x v="9"/>
    <x v="1"/>
    <x v="1"/>
    <x v="3"/>
    <x v="2"/>
    <x v="263"/>
    <x v="263"/>
    <x v="4"/>
  </r>
  <r>
    <x v="264"/>
    <x v="11"/>
    <x v="3"/>
    <x v="8"/>
    <x v="0"/>
    <x v="0"/>
    <x v="1"/>
    <x v="2"/>
    <x v="264"/>
    <x v="264"/>
    <x v="10"/>
  </r>
  <r>
    <x v="265"/>
    <x v="14"/>
    <x v="35"/>
    <x v="3"/>
    <x v="0"/>
    <x v="0"/>
    <x v="0"/>
    <x v="1"/>
    <x v="265"/>
    <x v="265"/>
    <x v="5"/>
  </r>
  <r>
    <x v="266"/>
    <x v="209"/>
    <x v="90"/>
    <x v="7"/>
    <x v="3"/>
    <x v="0"/>
    <x v="0"/>
    <x v="2"/>
    <x v="266"/>
    <x v="266"/>
    <x v="8"/>
  </r>
  <r>
    <x v="267"/>
    <x v="210"/>
    <x v="47"/>
    <x v="2"/>
    <x v="1"/>
    <x v="0"/>
    <x v="1"/>
    <x v="2"/>
    <x v="267"/>
    <x v="267"/>
    <x v="23"/>
  </r>
  <r>
    <x v="268"/>
    <x v="17"/>
    <x v="27"/>
    <x v="0"/>
    <x v="3"/>
    <x v="0"/>
    <x v="0"/>
    <x v="2"/>
    <x v="268"/>
    <x v="268"/>
    <x v="2"/>
  </r>
  <r>
    <x v="269"/>
    <x v="211"/>
    <x v="57"/>
    <x v="4"/>
    <x v="3"/>
    <x v="0"/>
    <x v="1"/>
    <x v="3"/>
    <x v="269"/>
    <x v="269"/>
    <x v="9"/>
  </r>
  <r>
    <x v="270"/>
    <x v="212"/>
    <x v="71"/>
    <x v="6"/>
    <x v="0"/>
    <x v="0"/>
    <x v="3"/>
    <x v="2"/>
    <x v="270"/>
    <x v="270"/>
    <x v="13"/>
  </r>
  <r>
    <x v="271"/>
    <x v="213"/>
    <x v="102"/>
    <x v="2"/>
    <x v="3"/>
    <x v="0"/>
    <x v="2"/>
    <x v="0"/>
    <x v="271"/>
    <x v="271"/>
    <x v="18"/>
  </r>
  <r>
    <x v="272"/>
    <x v="214"/>
    <x v="33"/>
    <x v="2"/>
    <x v="2"/>
    <x v="0"/>
    <x v="0"/>
    <x v="0"/>
    <x v="272"/>
    <x v="272"/>
    <x v="22"/>
  </r>
  <r>
    <x v="273"/>
    <x v="215"/>
    <x v="39"/>
    <x v="5"/>
    <x v="0"/>
    <x v="0"/>
    <x v="3"/>
    <x v="2"/>
    <x v="273"/>
    <x v="273"/>
    <x v="6"/>
  </r>
  <r>
    <x v="274"/>
    <x v="216"/>
    <x v="46"/>
    <x v="0"/>
    <x v="1"/>
    <x v="0"/>
    <x v="1"/>
    <x v="2"/>
    <x v="274"/>
    <x v="274"/>
    <x v="17"/>
  </r>
  <r>
    <x v="275"/>
    <x v="19"/>
    <x v="4"/>
    <x v="7"/>
    <x v="2"/>
    <x v="0"/>
    <x v="0"/>
    <x v="2"/>
    <x v="275"/>
    <x v="275"/>
    <x v="8"/>
  </r>
  <r>
    <x v="276"/>
    <x v="217"/>
    <x v="4"/>
    <x v="7"/>
    <x v="1"/>
    <x v="0"/>
    <x v="0"/>
    <x v="0"/>
    <x v="276"/>
    <x v="276"/>
    <x v="23"/>
  </r>
  <r>
    <x v="277"/>
    <x v="218"/>
    <x v="103"/>
    <x v="3"/>
    <x v="3"/>
    <x v="0"/>
    <x v="3"/>
    <x v="1"/>
    <x v="277"/>
    <x v="277"/>
    <x v="0"/>
  </r>
  <r>
    <x v="278"/>
    <x v="219"/>
    <x v="13"/>
    <x v="6"/>
    <x v="1"/>
    <x v="0"/>
    <x v="2"/>
    <x v="1"/>
    <x v="278"/>
    <x v="278"/>
    <x v="11"/>
  </r>
  <r>
    <x v="279"/>
    <x v="220"/>
    <x v="104"/>
    <x v="0"/>
    <x v="1"/>
    <x v="0"/>
    <x v="2"/>
    <x v="1"/>
    <x v="279"/>
    <x v="279"/>
    <x v="17"/>
  </r>
  <r>
    <x v="280"/>
    <x v="221"/>
    <x v="104"/>
    <x v="9"/>
    <x v="1"/>
    <x v="0"/>
    <x v="0"/>
    <x v="0"/>
    <x v="280"/>
    <x v="280"/>
    <x v="12"/>
  </r>
  <r>
    <x v="281"/>
    <x v="222"/>
    <x v="74"/>
    <x v="4"/>
    <x v="0"/>
    <x v="0"/>
    <x v="2"/>
    <x v="2"/>
    <x v="281"/>
    <x v="281"/>
    <x v="13"/>
  </r>
  <r>
    <x v="282"/>
    <x v="223"/>
    <x v="86"/>
    <x v="3"/>
    <x v="2"/>
    <x v="0"/>
    <x v="0"/>
    <x v="1"/>
    <x v="282"/>
    <x v="282"/>
    <x v="18"/>
  </r>
  <r>
    <x v="283"/>
    <x v="224"/>
    <x v="55"/>
    <x v="2"/>
    <x v="3"/>
    <x v="0"/>
    <x v="1"/>
    <x v="2"/>
    <x v="283"/>
    <x v="283"/>
    <x v="1"/>
  </r>
  <r>
    <x v="284"/>
    <x v="225"/>
    <x v="42"/>
    <x v="6"/>
    <x v="1"/>
    <x v="0"/>
    <x v="0"/>
    <x v="2"/>
    <x v="284"/>
    <x v="284"/>
    <x v="11"/>
  </r>
  <r>
    <x v="285"/>
    <x v="226"/>
    <x v="9"/>
    <x v="0"/>
    <x v="1"/>
    <x v="0"/>
    <x v="0"/>
    <x v="2"/>
    <x v="285"/>
    <x v="285"/>
    <x v="6"/>
  </r>
  <r>
    <x v="286"/>
    <x v="91"/>
    <x v="105"/>
    <x v="1"/>
    <x v="2"/>
    <x v="0"/>
    <x v="0"/>
    <x v="2"/>
    <x v="286"/>
    <x v="286"/>
    <x v="8"/>
  </r>
  <r>
    <x v="287"/>
    <x v="227"/>
    <x v="105"/>
    <x v="4"/>
    <x v="3"/>
    <x v="0"/>
    <x v="1"/>
    <x v="2"/>
    <x v="287"/>
    <x v="287"/>
    <x v="10"/>
  </r>
  <r>
    <x v="288"/>
    <x v="228"/>
    <x v="35"/>
    <x v="4"/>
    <x v="2"/>
    <x v="0"/>
    <x v="3"/>
    <x v="1"/>
    <x v="288"/>
    <x v="288"/>
    <x v="10"/>
  </r>
  <r>
    <x v="289"/>
    <x v="12"/>
    <x v="106"/>
    <x v="0"/>
    <x v="0"/>
    <x v="0"/>
    <x v="1"/>
    <x v="0"/>
    <x v="289"/>
    <x v="289"/>
    <x v="10"/>
  </r>
  <r>
    <x v="290"/>
    <x v="229"/>
    <x v="27"/>
    <x v="7"/>
    <x v="3"/>
    <x v="0"/>
    <x v="0"/>
    <x v="0"/>
    <x v="290"/>
    <x v="290"/>
    <x v="1"/>
  </r>
  <r>
    <x v="291"/>
    <x v="230"/>
    <x v="33"/>
    <x v="0"/>
    <x v="0"/>
    <x v="0"/>
    <x v="0"/>
    <x v="0"/>
    <x v="291"/>
    <x v="291"/>
    <x v="23"/>
  </r>
  <r>
    <x v="292"/>
    <x v="231"/>
    <x v="2"/>
    <x v="7"/>
    <x v="0"/>
    <x v="0"/>
    <x v="3"/>
    <x v="2"/>
    <x v="292"/>
    <x v="292"/>
    <x v="17"/>
  </r>
  <r>
    <x v="293"/>
    <x v="111"/>
    <x v="5"/>
    <x v="2"/>
    <x v="3"/>
    <x v="0"/>
    <x v="0"/>
    <x v="1"/>
    <x v="293"/>
    <x v="293"/>
    <x v="11"/>
  </r>
  <r>
    <x v="294"/>
    <x v="173"/>
    <x v="15"/>
    <x v="0"/>
    <x v="0"/>
    <x v="0"/>
    <x v="3"/>
    <x v="0"/>
    <x v="294"/>
    <x v="294"/>
    <x v="20"/>
  </r>
  <r>
    <x v="295"/>
    <x v="50"/>
    <x v="100"/>
    <x v="9"/>
    <x v="1"/>
    <x v="2"/>
    <x v="1"/>
    <x v="2"/>
    <x v="295"/>
    <x v="295"/>
    <x v="2"/>
  </r>
  <r>
    <x v="296"/>
    <x v="127"/>
    <x v="43"/>
    <x v="6"/>
    <x v="0"/>
    <x v="1"/>
    <x v="3"/>
    <x v="3"/>
    <x v="296"/>
    <x v="296"/>
    <x v="10"/>
  </r>
  <r>
    <x v="297"/>
    <x v="109"/>
    <x v="87"/>
    <x v="9"/>
    <x v="0"/>
    <x v="0"/>
    <x v="0"/>
    <x v="1"/>
    <x v="297"/>
    <x v="297"/>
    <x v="6"/>
  </r>
  <r>
    <x v="298"/>
    <x v="126"/>
    <x v="106"/>
    <x v="9"/>
    <x v="0"/>
    <x v="0"/>
    <x v="0"/>
    <x v="1"/>
    <x v="298"/>
    <x v="298"/>
    <x v="2"/>
  </r>
  <r>
    <x v="299"/>
    <x v="232"/>
    <x v="26"/>
    <x v="8"/>
    <x v="2"/>
    <x v="0"/>
    <x v="3"/>
    <x v="1"/>
    <x v="299"/>
    <x v="299"/>
    <x v="19"/>
  </r>
  <r>
    <x v="300"/>
    <x v="233"/>
    <x v="92"/>
    <x v="2"/>
    <x v="2"/>
    <x v="2"/>
    <x v="1"/>
    <x v="2"/>
    <x v="300"/>
    <x v="300"/>
    <x v="19"/>
  </r>
  <r>
    <x v="301"/>
    <x v="110"/>
    <x v="33"/>
    <x v="7"/>
    <x v="0"/>
    <x v="0"/>
    <x v="0"/>
    <x v="2"/>
    <x v="301"/>
    <x v="301"/>
    <x v="13"/>
  </r>
  <r>
    <x v="302"/>
    <x v="234"/>
    <x v="21"/>
    <x v="1"/>
    <x v="2"/>
    <x v="0"/>
    <x v="1"/>
    <x v="3"/>
    <x v="302"/>
    <x v="302"/>
    <x v="9"/>
  </r>
  <r>
    <x v="303"/>
    <x v="235"/>
    <x v="95"/>
    <x v="3"/>
    <x v="0"/>
    <x v="0"/>
    <x v="3"/>
    <x v="1"/>
    <x v="303"/>
    <x v="303"/>
    <x v="16"/>
  </r>
  <r>
    <x v="304"/>
    <x v="37"/>
    <x v="50"/>
    <x v="8"/>
    <x v="2"/>
    <x v="0"/>
    <x v="3"/>
    <x v="2"/>
    <x v="304"/>
    <x v="304"/>
    <x v="11"/>
  </r>
  <r>
    <x v="305"/>
    <x v="40"/>
    <x v="107"/>
    <x v="6"/>
    <x v="3"/>
    <x v="3"/>
    <x v="3"/>
    <x v="1"/>
    <x v="305"/>
    <x v="305"/>
    <x v="3"/>
  </r>
  <r>
    <x v="306"/>
    <x v="76"/>
    <x v="68"/>
    <x v="7"/>
    <x v="3"/>
    <x v="2"/>
    <x v="0"/>
    <x v="2"/>
    <x v="306"/>
    <x v="306"/>
    <x v="20"/>
  </r>
  <r>
    <x v="307"/>
    <x v="53"/>
    <x v="90"/>
    <x v="7"/>
    <x v="0"/>
    <x v="0"/>
    <x v="0"/>
    <x v="1"/>
    <x v="307"/>
    <x v="307"/>
    <x v="17"/>
  </r>
  <r>
    <x v="308"/>
    <x v="236"/>
    <x v="105"/>
    <x v="7"/>
    <x v="1"/>
    <x v="0"/>
    <x v="2"/>
    <x v="2"/>
    <x v="308"/>
    <x v="308"/>
    <x v="4"/>
  </r>
  <r>
    <x v="309"/>
    <x v="237"/>
    <x v="104"/>
    <x v="7"/>
    <x v="1"/>
    <x v="0"/>
    <x v="2"/>
    <x v="0"/>
    <x v="309"/>
    <x v="309"/>
    <x v="9"/>
  </r>
  <r>
    <x v="310"/>
    <x v="238"/>
    <x v="27"/>
    <x v="3"/>
    <x v="3"/>
    <x v="1"/>
    <x v="2"/>
    <x v="2"/>
    <x v="310"/>
    <x v="310"/>
    <x v="12"/>
  </r>
  <r>
    <x v="311"/>
    <x v="16"/>
    <x v="43"/>
    <x v="7"/>
    <x v="2"/>
    <x v="0"/>
    <x v="1"/>
    <x v="2"/>
    <x v="311"/>
    <x v="311"/>
    <x v="10"/>
  </r>
  <r>
    <x v="312"/>
    <x v="136"/>
    <x v="108"/>
    <x v="1"/>
    <x v="0"/>
    <x v="0"/>
    <x v="1"/>
    <x v="3"/>
    <x v="312"/>
    <x v="312"/>
    <x v="13"/>
  </r>
  <r>
    <x v="313"/>
    <x v="239"/>
    <x v="27"/>
    <x v="8"/>
    <x v="1"/>
    <x v="0"/>
    <x v="0"/>
    <x v="3"/>
    <x v="313"/>
    <x v="313"/>
    <x v="9"/>
  </r>
  <r>
    <x v="314"/>
    <x v="240"/>
    <x v="109"/>
    <x v="0"/>
    <x v="3"/>
    <x v="0"/>
    <x v="2"/>
    <x v="1"/>
    <x v="314"/>
    <x v="314"/>
    <x v="7"/>
  </r>
  <r>
    <x v="315"/>
    <x v="150"/>
    <x v="102"/>
    <x v="6"/>
    <x v="3"/>
    <x v="0"/>
    <x v="2"/>
    <x v="1"/>
    <x v="315"/>
    <x v="315"/>
    <x v="14"/>
  </r>
  <r>
    <x v="316"/>
    <x v="86"/>
    <x v="110"/>
    <x v="0"/>
    <x v="3"/>
    <x v="0"/>
    <x v="0"/>
    <x v="0"/>
    <x v="316"/>
    <x v="316"/>
    <x v="18"/>
  </r>
  <r>
    <x v="317"/>
    <x v="241"/>
    <x v="109"/>
    <x v="5"/>
    <x v="3"/>
    <x v="0"/>
    <x v="3"/>
    <x v="3"/>
    <x v="317"/>
    <x v="317"/>
    <x v="4"/>
  </r>
  <r>
    <x v="318"/>
    <x v="242"/>
    <x v="43"/>
    <x v="6"/>
    <x v="1"/>
    <x v="0"/>
    <x v="0"/>
    <x v="1"/>
    <x v="318"/>
    <x v="318"/>
    <x v="6"/>
  </r>
  <r>
    <x v="319"/>
    <x v="243"/>
    <x v="81"/>
    <x v="4"/>
    <x v="3"/>
    <x v="0"/>
    <x v="2"/>
    <x v="3"/>
    <x v="319"/>
    <x v="319"/>
    <x v="4"/>
  </r>
  <r>
    <x v="320"/>
    <x v="225"/>
    <x v="54"/>
    <x v="4"/>
    <x v="1"/>
    <x v="0"/>
    <x v="2"/>
    <x v="1"/>
    <x v="320"/>
    <x v="320"/>
    <x v="11"/>
  </r>
  <r>
    <x v="321"/>
    <x v="235"/>
    <x v="0"/>
    <x v="6"/>
    <x v="1"/>
    <x v="0"/>
    <x v="1"/>
    <x v="2"/>
    <x v="321"/>
    <x v="321"/>
    <x v="16"/>
  </r>
  <r>
    <x v="322"/>
    <x v="244"/>
    <x v="20"/>
    <x v="4"/>
    <x v="2"/>
    <x v="0"/>
    <x v="2"/>
    <x v="1"/>
    <x v="322"/>
    <x v="322"/>
    <x v="17"/>
  </r>
  <r>
    <x v="323"/>
    <x v="165"/>
    <x v="85"/>
    <x v="4"/>
    <x v="2"/>
    <x v="0"/>
    <x v="0"/>
    <x v="0"/>
    <x v="323"/>
    <x v="323"/>
    <x v="1"/>
  </r>
  <r>
    <x v="324"/>
    <x v="245"/>
    <x v="33"/>
    <x v="3"/>
    <x v="3"/>
    <x v="0"/>
    <x v="3"/>
    <x v="0"/>
    <x v="324"/>
    <x v="324"/>
    <x v="15"/>
  </r>
  <r>
    <x v="325"/>
    <x v="246"/>
    <x v="14"/>
    <x v="6"/>
    <x v="1"/>
    <x v="0"/>
    <x v="0"/>
    <x v="0"/>
    <x v="325"/>
    <x v="325"/>
    <x v="14"/>
  </r>
  <r>
    <x v="326"/>
    <x v="247"/>
    <x v="90"/>
    <x v="4"/>
    <x v="1"/>
    <x v="0"/>
    <x v="2"/>
    <x v="1"/>
    <x v="326"/>
    <x v="326"/>
    <x v="3"/>
  </r>
  <r>
    <x v="327"/>
    <x v="198"/>
    <x v="47"/>
    <x v="0"/>
    <x v="0"/>
    <x v="0"/>
    <x v="2"/>
    <x v="0"/>
    <x v="327"/>
    <x v="327"/>
    <x v="19"/>
  </r>
  <r>
    <x v="328"/>
    <x v="248"/>
    <x v="100"/>
    <x v="0"/>
    <x v="3"/>
    <x v="1"/>
    <x v="1"/>
    <x v="0"/>
    <x v="328"/>
    <x v="328"/>
    <x v="9"/>
  </r>
  <r>
    <x v="329"/>
    <x v="204"/>
    <x v="76"/>
    <x v="3"/>
    <x v="2"/>
    <x v="0"/>
    <x v="0"/>
    <x v="0"/>
    <x v="329"/>
    <x v="329"/>
    <x v="15"/>
  </r>
  <r>
    <x v="330"/>
    <x v="249"/>
    <x v="33"/>
    <x v="2"/>
    <x v="1"/>
    <x v="0"/>
    <x v="1"/>
    <x v="3"/>
    <x v="330"/>
    <x v="330"/>
    <x v="0"/>
  </r>
  <r>
    <x v="331"/>
    <x v="10"/>
    <x v="61"/>
    <x v="4"/>
    <x v="1"/>
    <x v="0"/>
    <x v="0"/>
    <x v="1"/>
    <x v="331"/>
    <x v="331"/>
    <x v="9"/>
  </r>
  <r>
    <x v="332"/>
    <x v="250"/>
    <x v="99"/>
    <x v="7"/>
    <x v="0"/>
    <x v="0"/>
    <x v="0"/>
    <x v="0"/>
    <x v="332"/>
    <x v="332"/>
    <x v="22"/>
  </r>
  <r>
    <x v="333"/>
    <x v="69"/>
    <x v="15"/>
    <x v="7"/>
    <x v="2"/>
    <x v="0"/>
    <x v="1"/>
    <x v="3"/>
    <x v="333"/>
    <x v="333"/>
    <x v="13"/>
  </r>
  <r>
    <x v="334"/>
    <x v="156"/>
    <x v="30"/>
    <x v="9"/>
    <x v="1"/>
    <x v="0"/>
    <x v="3"/>
    <x v="2"/>
    <x v="334"/>
    <x v="334"/>
    <x v="16"/>
  </r>
  <r>
    <x v="335"/>
    <x v="169"/>
    <x v="71"/>
    <x v="1"/>
    <x v="2"/>
    <x v="0"/>
    <x v="1"/>
    <x v="2"/>
    <x v="335"/>
    <x v="335"/>
    <x v="3"/>
  </r>
  <r>
    <x v="336"/>
    <x v="24"/>
    <x v="92"/>
    <x v="1"/>
    <x v="3"/>
    <x v="0"/>
    <x v="3"/>
    <x v="1"/>
    <x v="336"/>
    <x v="336"/>
    <x v="2"/>
  </r>
  <r>
    <x v="337"/>
    <x v="251"/>
    <x v="62"/>
    <x v="8"/>
    <x v="0"/>
    <x v="0"/>
    <x v="1"/>
    <x v="1"/>
    <x v="337"/>
    <x v="337"/>
    <x v="15"/>
  </r>
  <r>
    <x v="338"/>
    <x v="163"/>
    <x v="63"/>
    <x v="7"/>
    <x v="1"/>
    <x v="2"/>
    <x v="0"/>
    <x v="1"/>
    <x v="338"/>
    <x v="338"/>
    <x v="14"/>
  </r>
  <r>
    <x v="339"/>
    <x v="252"/>
    <x v="79"/>
    <x v="1"/>
    <x v="3"/>
    <x v="0"/>
    <x v="2"/>
    <x v="3"/>
    <x v="339"/>
    <x v="339"/>
    <x v="20"/>
  </r>
  <r>
    <x v="340"/>
    <x v="253"/>
    <x v="32"/>
    <x v="4"/>
    <x v="2"/>
    <x v="0"/>
    <x v="1"/>
    <x v="0"/>
    <x v="340"/>
    <x v="340"/>
    <x v="15"/>
  </r>
  <r>
    <x v="341"/>
    <x v="114"/>
    <x v="111"/>
    <x v="5"/>
    <x v="1"/>
    <x v="0"/>
    <x v="1"/>
    <x v="1"/>
    <x v="341"/>
    <x v="341"/>
    <x v="12"/>
  </r>
  <r>
    <x v="342"/>
    <x v="254"/>
    <x v="97"/>
    <x v="2"/>
    <x v="3"/>
    <x v="0"/>
    <x v="1"/>
    <x v="2"/>
    <x v="342"/>
    <x v="342"/>
    <x v="10"/>
  </r>
  <r>
    <x v="343"/>
    <x v="255"/>
    <x v="77"/>
    <x v="2"/>
    <x v="0"/>
    <x v="0"/>
    <x v="1"/>
    <x v="3"/>
    <x v="343"/>
    <x v="343"/>
    <x v="18"/>
  </r>
  <r>
    <x v="344"/>
    <x v="129"/>
    <x v="54"/>
    <x v="3"/>
    <x v="2"/>
    <x v="0"/>
    <x v="3"/>
    <x v="1"/>
    <x v="344"/>
    <x v="344"/>
    <x v="16"/>
  </r>
  <r>
    <x v="345"/>
    <x v="256"/>
    <x v="13"/>
    <x v="1"/>
    <x v="2"/>
    <x v="1"/>
    <x v="3"/>
    <x v="1"/>
    <x v="345"/>
    <x v="345"/>
    <x v="3"/>
  </r>
  <r>
    <x v="346"/>
    <x v="26"/>
    <x v="53"/>
    <x v="4"/>
    <x v="1"/>
    <x v="0"/>
    <x v="0"/>
    <x v="1"/>
    <x v="346"/>
    <x v="346"/>
    <x v="13"/>
  </r>
  <r>
    <x v="347"/>
    <x v="257"/>
    <x v="112"/>
    <x v="5"/>
    <x v="1"/>
    <x v="0"/>
    <x v="0"/>
    <x v="2"/>
    <x v="347"/>
    <x v="347"/>
    <x v="23"/>
  </r>
  <r>
    <x v="348"/>
    <x v="157"/>
    <x v="64"/>
    <x v="6"/>
    <x v="1"/>
    <x v="0"/>
    <x v="3"/>
    <x v="1"/>
    <x v="348"/>
    <x v="348"/>
    <x v="15"/>
  </r>
  <r>
    <x v="349"/>
    <x v="258"/>
    <x v="51"/>
    <x v="3"/>
    <x v="1"/>
    <x v="0"/>
    <x v="1"/>
    <x v="1"/>
    <x v="349"/>
    <x v="349"/>
    <x v="4"/>
  </r>
  <r>
    <x v="350"/>
    <x v="64"/>
    <x v="47"/>
    <x v="4"/>
    <x v="2"/>
    <x v="0"/>
    <x v="3"/>
    <x v="2"/>
    <x v="350"/>
    <x v="350"/>
    <x v="19"/>
  </r>
  <r>
    <x v="351"/>
    <x v="259"/>
    <x v="15"/>
    <x v="3"/>
    <x v="0"/>
    <x v="0"/>
    <x v="2"/>
    <x v="0"/>
    <x v="351"/>
    <x v="351"/>
    <x v="9"/>
  </r>
  <r>
    <x v="352"/>
    <x v="260"/>
    <x v="113"/>
    <x v="9"/>
    <x v="3"/>
    <x v="0"/>
    <x v="1"/>
    <x v="3"/>
    <x v="97"/>
    <x v="97"/>
    <x v="6"/>
  </r>
  <r>
    <x v="353"/>
    <x v="261"/>
    <x v="26"/>
    <x v="3"/>
    <x v="0"/>
    <x v="3"/>
    <x v="2"/>
    <x v="3"/>
    <x v="352"/>
    <x v="352"/>
    <x v="13"/>
  </r>
  <r>
    <x v="354"/>
    <x v="262"/>
    <x v="108"/>
    <x v="3"/>
    <x v="1"/>
    <x v="0"/>
    <x v="3"/>
    <x v="3"/>
    <x v="353"/>
    <x v="353"/>
    <x v="16"/>
  </r>
  <r>
    <x v="355"/>
    <x v="201"/>
    <x v="47"/>
    <x v="5"/>
    <x v="1"/>
    <x v="0"/>
    <x v="0"/>
    <x v="1"/>
    <x v="8"/>
    <x v="8"/>
    <x v="5"/>
  </r>
  <r>
    <x v="356"/>
    <x v="263"/>
    <x v="100"/>
    <x v="3"/>
    <x v="3"/>
    <x v="0"/>
    <x v="3"/>
    <x v="3"/>
    <x v="354"/>
    <x v="354"/>
    <x v="23"/>
  </r>
  <r>
    <x v="357"/>
    <x v="41"/>
    <x v="110"/>
    <x v="7"/>
    <x v="1"/>
    <x v="0"/>
    <x v="0"/>
    <x v="2"/>
    <x v="355"/>
    <x v="355"/>
    <x v="14"/>
  </r>
  <r>
    <x v="358"/>
    <x v="264"/>
    <x v="112"/>
    <x v="0"/>
    <x v="1"/>
    <x v="1"/>
    <x v="2"/>
    <x v="1"/>
    <x v="356"/>
    <x v="356"/>
    <x v="5"/>
  </r>
  <r>
    <x v="359"/>
    <x v="265"/>
    <x v="68"/>
    <x v="2"/>
    <x v="0"/>
    <x v="0"/>
    <x v="1"/>
    <x v="0"/>
    <x v="357"/>
    <x v="357"/>
    <x v="0"/>
  </r>
  <r>
    <x v="360"/>
    <x v="141"/>
    <x v="114"/>
    <x v="9"/>
    <x v="2"/>
    <x v="0"/>
    <x v="1"/>
    <x v="2"/>
    <x v="358"/>
    <x v="358"/>
    <x v="12"/>
  </r>
  <r>
    <x v="361"/>
    <x v="178"/>
    <x v="100"/>
    <x v="6"/>
    <x v="2"/>
    <x v="0"/>
    <x v="2"/>
    <x v="1"/>
    <x v="359"/>
    <x v="359"/>
    <x v="16"/>
  </r>
  <r>
    <x v="362"/>
    <x v="266"/>
    <x v="68"/>
    <x v="2"/>
    <x v="3"/>
    <x v="2"/>
    <x v="0"/>
    <x v="3"/>
    <x v="360"/>
    <x v="360"/>
    <x v="6"/>
  </r>
  <r>
    <x v="363"/>
    <x v="152"/>
    <x v="115"/>
    <x v="2"/>
    <x v="3"/>
    <x v="0"/>
    <x v="0"/>
    <x v="3"/>
    <x v="361"/>
    <x v="361"/>
    <x v="16"/>
  </r>
  <r>
    <x v="364"/>
    <x v="267"/>
    <x v="7"/>
    <x v="6"/>
    <x v="2"/>
    <x v="0"/>
    <x v="3"/>
    <x v="3"/>
    <x v="362"/>
    <x v="362"/>
    <x v="2"/>
  </r>
  <r>
    <x v="365"/>
    <x v="268"/>
    <x v="90"/>
    <x v="6"/>
    <x v="3"/>
    <x v="0"/>
    <x v="3"/>
    <x v="0"/>
    <x v="363"/>
    <x v="363"/>
    <x v="22"/>
  </r>
  <r>
    <x v="366"/>
    <x v="269"/>
    <x v="53"/>
    <x v="7"/>
    <x v="2"/>
    <x v="2"/>
    <x v="1"/>
    <x v="3"/>
    <x v="364"/>
    <x v="364"/>
    <x v="11"/>
  </r>
  <r>
    <x v="367"/>
    <x v="270"/>
    <x v="109"/>
    <x v="0"/>
    <x v="1"/>
    <x v="0"/>
    <x v="0"/>
    <x v="1"/>
    <x v="365"/>
    <x v="365"/>
    <x v="18"/>
  </r>
  <r>
    <x v="368"/>
    <x v="271"/>
    <x v="20"/>
    <x v="2"/>
    <x v="2"/>
    <x v="0"/>
    <x v="2"/>
    <x v="3"/>
    <x v="366"/>
    <x v="366"/>
    <x v="6"/>
  </r>
  <r>
    <x v="369"/>
    <x v="272"/>
    <x v="72"/>
    <x v="8"/>
    <x v="2"/>
    <x v="0"/>
    <x v="2"/>
    <x v="0"/>
    <x v="367"/>
    <x v="367"/>
    <x v="16"/>
  </r>
  <r>
    <x v="370"/>
    <x v="100"/>
    <x v="55"/>
    <x v="6"/>
    <x v="1"/>
    <x v="0"/>
    <x v="1"/>
    <x v="2"/>
    <x v="368"/>
    <x v="368"/>
    <x v="0"/>
  </r>
  <r>
    <x v="371"/>
    <x v="273"/>
    <x v="103"/>
    <x v="5"/>
    <x v="2"/>
    <x v="0"/>
    <x v="1"/>
    <x v="1"/>
    <x v="369"/>
    <x v="369"/>
    <x v="5"/>
  </r>
  <r>
    <x v="372"/>
    <x v="123"/>
    <x v="54"/>
    <x v="9"/>
    <x v="1"/>
    <x v="0"/>
    <x v="2"/>
    <x v="3"/>
    <x v="370"/>
    <x v="370"/>
    <x v="23"/>
  </r>
  <r>
    <x v="373"/>
    <x v="274"/>
    <x v="38"/>
    <x v="7"/>
    <x v="2"/>
    <x v="0"/>
    <x v="1"/>
    <x v="1"/>
    <x v="371"/>
    <x v="371"/>
    <x v="0"/>
  </r>
  <r>
    <x v="374"/>
    <x v="275"/>
    <x v="8"/>
    <x v="8"/>
    <x v="2"/>
    <x v="0"/>
    <x v="3"/>
    <x v="0"/>
    <x v="372"/>
    <x v="372"/>
    <x v="15"/>
  </r>
  <r>
    <x v="375"/>
    <x v="166"/>
    <x v="35"/>
    <x v="1"/>
    <x v="0"/>
    <x v="0"/>
    <x v="3"/>
    <x v="2"/>
    <x v="373"/>
    <x v="373"/>
    <x v="20"/>
  </r>
  <r>
    <x v="376"/>
    <x v="268"/>
    <x v="80"/>
    <x v="2"/>
    <x v="0"/>
    <x v="0"/>
    <x v="3"/>
    <x v="1"/>
    <x v="374"/>
    <x v="374"/>
    <x v="22"/>
  </r>
  <r>
    <x v="377"/>
    <x v="276"/>
    <x v="116"/>
    <x v="3"/>
    <x v="2"/>
    <x v="0"/>
    <x v="1"/>
    <x v="3"/>
    <x v="375"/>
    <x v="375"/>
    <x v="18"/>
  </r>
  <r>
    <x v="378"/>
    <x v="277"/>
    <x v="75"/>
    <x v="2"/>
    <x v="3"/>
    <x v="0"/>
    <x v="3"/>
    <x v="1"/>
    <x v="376"/>
    <x v="376"/>
    <x v="16"/>
  </r>
  <r>
    <x v="379"/>
    <x v="58"/>
    <x v="50"/>
    <x v="9"/>
    <x v="2"/>
    <x v="0"/>
    <x v="2"/>
    <x v="2"/>
    <x v="377"/>
    <x v="377"/>
    <x v="16"/>
  </r>
  <r>
    <x v="380"/>
    <x v="278"/>
    <x v="34"/>
    <x v="8"/>
    <x v="1"/>
    <x v="0"/>
    <x v="3"/>
    <x v="2"/>
    <x v="378"/>
    <x v="378"/>
    <x v="21"/>
  </r>
  <r>
    <x v="381"/>
    <x v="279"/>
    <x v="47"/>
    <x v="8"/>
    <x v="2"/>
    <x v="0"/>
    <x v="1"/>
    <x v="0"/>
    <x v="379"/>
    <x v="379"/>
    <x v="13"/>
  </r>
  <r>
    <x v="382"/>
    <x v="145"/>
    <x v="83"/>
    <x v="1"/>
    <x v="3"/>
    <x v="0"/>
    <x v="2"/>
    <x v="1"/>
    <x v="380"/>
    <x v="380"/>
    <x v="4"/>
  </r>
  <r>
    <x v="383"/>
    <x v="109"/>
    <x v="85"/>
    <x v="4"/>
    <x v="2"/>
    <x v="0"/>
    <x v="0"/>
    <x v="0"/>
    <x v="381"/>
    <x v="381"/>
    <x v="6"/>
  </r>
  <r>
    <x v="384"/>
    <x v="280"/>
    <x v="104"/>
    <x v="1"/>
    <x v="1"/>
    <x v="0"/>
    <x v="0"/>
    <x v="0"/>
    <x v="382"/>
    <x v="382"/>
    <x v="0"/>
  </r>
  <r>
    <x v="385"/>
    <x v="281"/>
    <x v="78"/>
    <x v="7"/>
    <x v="3"/>
    <x v="0"/>
    <x v="2"/>
    <x v="2"/>
    <x v="383"/>
    <x v="383"/>
    <x v="2"/>
  </r>
  <r>
    <x v="386"/>
    <x v="282"/>
    <x v="23"/>
    <x v="9"/>
    <x v="2"/>
    <x v="0"/>
    <x v="1"/>
    <x v="2"/>
    <x v="384"/>
    <x v="384"/>
    <x v="23"/>
  </r>
  <r>
    <x v="387"/>
    <x v="283"/>
    <x v="54"/>
    <x v="7"/>
    <x v="3"/>
    <x v="0"/>
    <x v="2"/>
    <x v="3"/>
    <x v="385"/>
    <x v="385"/>
    <x v="16"/>
  </r>
  <r>
    <x v="388"/>
    <x v="246"/>
    <x v="91"/>
    <x v="5"/>
    <x v="3"/>
    <x v="0"/>
    <x v="1"/>
    <x v="1"/>
    <x v="386"/>
    <x v="386"/>
    <x v="14"/>
  </r>
  <r>
    <x v="389"/>
    <x v="107"/>
    <x v="80"/>
    <x v="8"/>
    <x v="2"/>
    <x v="0"/>
    <x v="3"/>
    <x v="0"/>
    <x v="387"/>
    <x v="387"/>
    <x v="5"/>
  </r>
  <r>
    <x v="390"/>
    <x v="196"/>
    <x v="32"/>
    <x v="9"/>
    <x v="2"/>
    <x v="0"/>
    <x v="2"/>
    <x v="2"/>
    <x v="388"/>
    <x v="388"/>
    <x v="1"/>
  </r>
  <r>
    <x v="391"/>
    <x v="284"/>
    <x v="22"/>
    <x v="6"/>
    <x v="3"/>
    <x v="0"/>
    <x v="0"/>
    <x v="1"/>
    <x v="389"/>
    <x v="389"/>
    <x v="2"/>
  </r>
  <r>
    <x v="392"/>
    <x v="285"/>
    <x v="90"/>
    <x v="4"/>
    <x v="0"/>
    <x v="0"/>
    <x v="3"/>
    <x v="1"/>
    <x v="390"/>
    <x v="390"/>
    <x v="19"/>
  </r>
  <r>
    <x v="393"/>
    <x v="170"/>
    <x v="41"/>
    <x v="0"/>
    <x v="2"/>
    <x v="0"/>
    <x v="2"/>
    <x v="0"/>
    <x v="391"/>
    <x v="391"/>
    <x v="8"/>
  </r>
  <r>
    <x v="394"/>
    <x v="286"/>
    <x v="17"/>
    <x v="9"/>
    <x v="0"/>
    <x v="0"/>
    <x v="2"/>
    <x v="0"/>
    <x v="392"/>
    <x v="392"/>
    <x v="22"/>
  </r>
  <r>
    <x v="395"/>
    <x v="287"/>
    <x v="24"/>
    <x v="9"/>
    <x v="1"/>
    <x v="0"/>
    <x v="1"/>
    <x v="3"/>
    <x v="393"/>
    <x v="393"/>
    <x v="17"/>
  </r>
  <r>
    <x v="396"/>
    <x v="288"/>
    <x v="105"/>
    <x v="0"/>
    <x v="3"/>
    <x v="0"/>
    <x v="2"/>
    <x v="2"/>
    <x v="394"/>
    <x v="394"/>
    <x v="12"/>
  </r>
  <r>
    <x v="397"/>
    <x v="177"/>
    <x v="35"/>
    <x v="5"/>
    <x v="3"/>
    <x v="0"/>
    <x v="2"/>
    <x v="1"/>
    <x v="395"/>
    <x v="395"/>
    <x v="16"/>
  </r>
  <r>
    <x v="398"/>
    <x v="180"/>
    <x v="49"/>
    <x v="0"/>
    <x v="3"/>
    <x v="0"/>
    <x v="0"/>
    <x v="2"/>
    <x v="396"/>
    <x v="396"/>
    <x v="0"/>
  </r>
  <r>
    <x v="399"/>
    <x v="267"/>
    <x v="25"/>
    <x v="4"/>
    <x v="2"/>
    <x v="0"/>
    <x v="1"/>
    <x v="3"/>
    <x v="397"/>
    <x v="397"/>
    <x v="2"/>
  </r>
  <r>
    <x v="400"/>
    <x v="253"/>
    <x v="37"/>
    <x v="3"/>
    <x v="3"/>
    <x v="0"/>
    <x v="2"/>
    <x v="0"/>
    <x v="398"/>
    <x v="398"/>
    <x v="15"/>
  </r>
  <r>
    <x v="401"/>
    <x v="289"/>
    <x v="27"/>
    <x v="8"/>
    <x v="2"/>
    <x v="0"/>
    <x v="0"/>
    <x v="3"/>
    <x v="399"/>
    <x v="399"/>
    <x v="8"/>
  </r>
  <r>
    <x v="402"/>
    <x v="290"/>
    <x v="20"/>
    <x v="1"/>
    <x v="0"/>
    <x v="0"/>
    <x v="1"/>
    <x v="2"/>
    <x v="400"/>
    <x v="400"/>
    <x v="21"/>
  </r>
  <r>
    <x v="403"/>
    <x v="291"/>
    <x v="80"/>
    <x v="6"/>
    <x v="3"/>
    <x v="0"/>
    <x v="0"/>
    <x v="3"/>
    <x v="401"/>
    <x v="401"/>
    <x v="7"/>
  </r>
  <r>
    <x v="404"/>
    <x v="292"/>
    <x v="93"/>
    <x v="9"/>
    <x v="0"/>
    <x v="0"/>
    <x v="0"/>
    <x v="1"/>
    <x v="402"/>
    <x v="402"/>
    <x v="8"/>
  </r>
  <r>
    <x v="405"/>
    <x v="293"/>
    <x v="1"/>
    <x v="4"/>
    <x v="0"/>
    <x v="0"/>
    <x v="0"/>
    <x v="0"/>
    <x v="403"/>
    <x v="403"/>
    <x v="19"/>
  </r>
  <r>
    <x v="406"/>
    <x v="294"/>
    <x v="45"/>
    <x v="4"/>
    <x v="3"/>
    <x v="2"/>
    <x v="1"/>
    <x v="1"/>
    <x v="404"/>
    <x v="404"/>
    <x v="22"/>
  </r>
  <r>
    <x v="407"/>
    <x v="295"/>
    <x v="30"/>
    <x v="6"/>
    <x v="1"/>
    <x v="0"/>
    <x v="0"/>
    <x v="3"/>
    <x v="405"/>
    <x v="405"/>
    <x v="2"/>
  </r>
  <r>
    <x v="408"/>
    <x v="296"/>
    <x v="107"/>
    <x v="3"/>
    <x v="3"/>
    <x v="0"/>
    <x v="2"/>
    <x v="2"/>
    <x v="406"/>
    <x v="406"/>
    <x v="13"/>
  </r>
  <r>
    <x v="409"/>
    <x v="297"/>
    <x v="74"/>
    <x v="6"/>
    <x v="3"/>
    <x v="0"/>
    <x v="3"/>
    <x v="0"/>
    <x v="407"/>
    <x v="407"/>
    <x v="21"/>
  </r>
  <r>
    <x v="410"/>
    <x v="267"/>
    <x v="101"/>
    <x v="6"/>
    <x v="1"/>
    <x v="0"/>
    <x v="2"/>
    <x v="1"/>
    <x v="408"/>
    <x v="408"/>
    <x v="2"/>
  </r>
  <r>
    <x v="411"/>
    <x v="298"/>
    <x v="20"/>
    <x v="0"/>
    <x v="2"/>
    <x v="0"/>
    <x v="1"/>
    <x v="3"/>
    <x v="409"/>
    <x v="409"/>
    <x v="7"/>
  </r>
  <r>
    <x v="412"/>
    <x v="45"/>
    <x v="117"/>
    <x v="3"/>
    <x v="0"/>
    <x v="0"/>
    <x v="2"/>
    <x v="2"/>
    <x v="410"/>
    <x v="410"/>
    <x v="1"/>
  </r>
  <r>
    <x v="413"/>
    <x v="0"/>
    <x v="90"/>
    <x v="2"/>
    <x v="0"/>
    <x v="0"/>
    <x v="3"/>
    <x v="1"/>
    <x v="184"/>
    <x v="184"/>
    <x v="0"/>
  </r>
  <r>
    <x v="414"/>
    <x v="194"/>
    <x v="102"/>
    <x v="5"/>
    <x v="1"/>
    <x v="0"/>
    <x v="1"/>
    <x v="3"/>
    <x v="411"/>
    <x v="411"/>
    <x v="9"/>
  </r>
  <r>
    <x v="415"/>
    <x v="299"/>
    <x v="35"/>
    <x v="3"/>
    <x v="0"/>
    <x v="0"/>
    <x v="1"/>
    <x v="0"/>
    <x v="412"/>
    <x v="412"/>
    <x v="12"/>
  </r>
  <r>
    <x v="416"/>
    <x v="48"/>
    <x v="27"/>
    <x v="5"/>
    <x v="0"/>
    <x v="0"/>
    <x v="1"/>
    <x v="0"/>
    <x v="413"/>
    <x v="413"/>
    <x v="13"/>
  </r>
  <r>
    <x v="417"/>
    <x v="300"/>
    <x v="99"/>
    <x v="5"/>
    <x v="3"/>
    <x v="0"/>
    <x v="0"/>
    <x v="1"/>
    <x v="414"/>
    <x v="414"/>
    <x v="23"/>
  </r>
  <r>
    <x v="418"/>
    <x v="301"/>
    <x v="26"/>
    <x v="2"/>
    <x v="2"/>
    <x v="0"/>
    <x v="2"/>
    <x v="3"/>
    <x v="415"/>
    <x v="415"/>
    <x v="17"/>
  </r>
  <r>
    <x v="419"/>
    <x v="302"/>
    <x v="118"/>
    <x v="6"/>
    <x v="2"/>
    <x v="0"/>
    <x v="2"/>
    <x v="1"/>
    <x v="416"/>
    <x v="416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_x000a_dynamique3" cacheId="0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1">
    <pivotField compact="0" showAll="0">
      <items count="4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compact="0" numFmtId="182" showAll="0"/>
    <pivotField compact="0" showAll="0"/>
    <pivotField compact="0" showAll="0"/>
    <pivotField axis="axisRow" compact="0" showAll="0">
      <items count="5">
        <item x="3"/>
        <item x="1"/>
        <item x="0"/>
        <item x="2"/>
        <item t="default"/>
      </items>
    </pivotField>
    <pivotField compact="0" showAll="0"/>
    <pivotField compact="0" showAll="0"/>
    <pivotField compact="0" numFmtId="179" showAll="0"/>
    <pivotField dataField="1" compact="0" numFmtId="179" showAll="0">
      <items count="418">
        <item x="384"/>
        <item x="70"/>
        <item x="185"/>
        <item x="135"/>
        <item x="202"/>
        <item x="37"/>
        <item x="283"/>
        <item x="264"/>
        <item x="103"/>
        <item x="34"/>
        <item x="341"/>
        <item x="386"/>
        <item x="180"/>
        <item x="117"/>
        <item x="359"/>
        <item x="402"/>
        <item x="104"/>
        <item x="184"/>
        <item x="138"/>
        <item x="363"/>
        <item x="416"/>
        <item x="323"/>
        <item x="170"/>
        <item x="66"/>
        <item x="94"/>
        <item x="165"/>
        <item x="214"/>
        <item x="349"/>
        <item x="43"/>
        <item x="289"/>
        <item x="204"/>
        <item x="91"/>
        <item x="390"/>
        <item x="395"/>
        <item x="396"/>
        <item x="8"/>
        <item x="141"/>
        <item x="60"/>
        <item x="302"/>
        <item x="404"/>
        <item x="406"/>
        <item x="398"/>
        <item x="216"/>
        <item x="278"/>
        <item x="167"/>
        <item x="13"/>
        <item x="127"/>
        <item x="151"/>
        <item x="345"/>
        <item x="194"/>
        <item x="336"/>
        <item x="368"/>
        <item x="105"/>
        <item x="260"/>
        <item x="308"/>
        <item x="12"/>
        <item x="113"/>
        <item x="311"/>
        <item x="97"/>
        <item x="328"/>
        <item x="298"/>
        <item x="9"/>
        <item x="187"/>
        <item x="388"/>
        <item x="188"/>
        <item x="321"/>
        <item x="380"/>
        <item x="372"/>
        <item x="227"/>
        <item x="16"/>
        <item x="148"/>
        <item x="306"/>
        <item x="342"/>
        <item x="205"/>
        <item x="85"/>
        <item x="335"/>
        <item x="88"/>
        <item x="332"/>
        <item x="219"/>
        <item x="225"/>
        <item x="196"/>
        <item x="378"/>
        <item x="82"/>
        <item x="61"/>
        <item x="156"/>
        <item x="11"/>
        <item x="136"/>
        <item x="98"/>
        <item x="290"/>
        <item x="32"/>
        <item x="107"/>
        <item x="318"/>
        <item x="96"/>
        <item x="272"/>
        <item x="350"/>
        <item x="274"/>
        <item x="223"/>
        <item x="189"/>
        <item x="400"/>
        <item x="182"/>
        <item x="44"/>
        <item x="241"/>
        <item x="281"/>
        <item x="55"/>
        <item x="64"/>
        <item x="230"/>
        <item x="327"/>
        <item x="79"/>
        <item x="26"/>
        <item x="76"/>
        <item x="130"/>
        <item x="28"/>
        <item x="116"/>
        <item x="226"/>
        <item x="31"/>
        <item x="111"/>
        <item x="360"/>
        <item x="248"/>
        <item x="365"/>
        <item x="366"/>
        <item x="399"/>
        <item x="166"/>
        <item x="109"/>
        <item x="337"/>
        <item x="408"/>
        <item x="213"/>
        <item x="47"/>
        <item x="280"/>
        <item x="382"/>
        <item x="177"/>
        <item x="340"/>
        <item x="201"/>
        <item x="215"/>
        <item x="203"/>
        <item x="123"/>
        <item x="361"/>
        <item x="145"/>
        <item x="53"/>
        <item x="268"/>
        <item x="14"/>
        <item x="364"/>
        <item x="22"/>
        <item x="301"/>
        <item x="191"/>
        <item x="83"/>
        <item x="163"/>
        <item x="309"/>
        <item x="217"/>
        <item x="374"/>
        <item x="86"/>
        <item x="210"/>
        <item x="405"/>
        <item x="48"/>
        <item x="315"/>
        <item x="285"/>
        <item x="317"/>
        <item x="410"/>
        <item x="276"/>
        <item x="162"/>
        <item x="39"/>
        <item x="20"/>
        <item x="29"/>
        <item x="90"/>
        <item x="158"/>
        <item x="176"/>
        <item x="385"/>
        <item x="286"/>
        <item x="294"/>
        <item x="351"/>
        <item x="50"/>
        <item x="234"/>
        <item x="231"/>
        <item x="379"/>
        <item x="63"/>
        <item x="149"/>
        <item x="253"/>
        <item x="128"/>
        <item x="275"/>
        <item x="243"/>
        <item x="124"/>
        <item x="45"/>
        <item x="352"/>
        <item x="282"/>
        <item x="305"/>
        <item x="330"/>
        <item x="279"/>
        <item x="92"/>
        <item x="334"/>
        <item x="87"/>
        <item x="401"/>
        <item x="262"/>
        <item x="192"/>
        <item x="118"/>
        <item x="101"/>
        <item x="65"/>
        <item x="358"/>
        <item x="348"/>
        <item x="387"/>
        <item x="373"/>
        <item x="224"/>
        <item x="17"/>
        <item x="322"/>
        <item x="121"/>
        <item x="169"/>
        <item x="102"/>
        <item x="242"/>
        <item x="110"/>
        <item x="144"/>
        <item x="266"/>
        <item x="255"/>
        <item x="271"/>
        <item x="249"/>
        <item x="371"/>
        <item x="129"/>
        <item x="5"/>
        <item x="146"/>
        <item x="413"/>
        <item x="58"/>
        <item x="354"/>
        <item x="247"/>
        <item x="62"/>
        <item x="3"/>
        <item x="228"/>
        <item x="18"/>
        <item x="229"/>
        <item x="270"/>
        <item x="132"/>
        <item x="391"/>
        <item x="36"/>
        <item x="84"/>
        <item x="24"/>
        <item x="331"/>
        <item x="6"/>
        <item x="108"/>
        <item x="375"/>
        <item x="77"/>
        <item x="314"/>
        <item x="235"/>
        <item x="46"/>
        <item x="287"/>
        <item x="199"/>
        <item x="81"/>
        <item x="19"/>
        <item x="33"/>
        <item x="269"/>
        <item x="69"/>
        <item x="221"/>
        <item x="152"/>
        <item x="38"/>
        <item x="291"/>
        <item x="49"/>
        <item x="75"/>
        <item x="353"/>
        <item x="377"/>
        <item x="346"/>
        <item x="329"/>
        <item x="362"/>
        <item x="0"/>
        <item x="320"/>
        <item x="389"/>
        <item x="56"/>
        <item x="95"/>
        <item x="347"/>
        <item x="51"/>
        <item x="25"/>
        <item x="339"/>
        <item x="160"/>
        <item x="206"/>
        <item x="394"/>
        <item x="265"/>
        <item x="147"/>
        <item x="415"/>
        <item x="4"/>
        <item x="52"/>
        <item x="245"/>
        <item x="168"/>
        <item x="304"/>
        <item x="183"/>
        <item x="80"/>
        <item x="112"/>
        <item x="7"/>
        <item x="140"/>
        <item x="220"/>
        <item x="251"/>
        <item x="256"/>
        <item x="193"/>
        <item x="106"/>
        <item x="299"/>
        <item x="324"/>
        <item x="207"/>
        <item x="171"/>
        <item x="277"/>
        <item x="154"/>
        <item x="131"/>
        <item x="54"/>
        <item x="42"/>
        <item x="197"/>
        <item x="15"/>
        <item x="338"/>
        <item x="179"/>
        <item x="68"/>
        <item x="71"/>
        <item x="344"/>
        <item x="57"/>
        <item x="93"/>
        <item x="407"/>
        <item x="195"/>
        <item x="240"/>
        <item x="412"/>
        <item x="208"/>
        <item x="186"/>
        <item x="99"/>
        <item x="244"/>
        <item x="233"/>
        <item x="295"/>
        <item x="178"/>
        <item x="307"/>
        <item x="232"/>
        <item x="23"/>
        <item x="40"/>
        <item x="411"/>
        <item x="383"/>
        <item x="41"/>
        <item x="273"/>
        <item x="21"/>
        <item x="173"/>
        <item x="239"/>
        <item x="316"/>
        <item x="292"/>
        <item x="78"/>
        <item x="355"/>
        <item x="209"/>
        <item x="30"/>
        <item x="137"/>
        <item x="172"/>
        <item x="319"/>
        <item x="326"/>
        <item x="303"/>
        <item x="122"/>
        <item x="293"/>
        <item x="120"/>
        <item x="67"/>
        <item x="252"/>
        <item x="155"/>
        <item x="115"/>
        <item x="125"/>
        <item x="357"/>
        <item x="27"/>
        <item x="310"/>
        <item x="157"/>
        <item x="164"/>
        <item x="119"/>
        <item x="10"/>
        <item x="2"/>
        <item x="35"/>
        <item x="343"/>
        <item x="126"/>
        <item x="174"/>
        <item x="150"/>
        <item x="72"/>
        <item x="392"/>
        <item x="236"/>
        <item x="284"/>
        <item x="238"/>
        <item x="159"/>
        <item x="300"/>
        <item x="250"/>
        <item x="397"/>
        <item x="246"/>
        <item x="376"/>
        <item x="59"/>
        <item x="296"/>
        <item x="175"/>
        <item x="89"/>
        <item x="367"/>
        <item x="237"/>
        <item x="414"/>
        <item x="1"/>
        <item x="257"/>
        <item x="222"/>
        <item x="381"/>
        <item x="211"/>
        <item x="74"/>
        <item x="114"/>
        <item x="259"/>
        <item x="100"/>
        <item x="212"/>
        <item x="267"/>
        <item x="142"/>
        <item x="190"/>
        <item x="181"/>
        <item x="288"/>
        <item x="133"/>
        <item x="369"/>
        <item x="134"/>
        <item x="313"/>
        <item x="258"/>
        <item x="403"/>
        <item x="139"/>
        <item x="297"/>
        <item x="73"/>
        <item x="333"/>
        <item x="198"/>
        <item x="143"/>
        <item x="325"/>
        <item x="200"/>
        <item x="263"/>
        <item x="356"/>
        <item x="261"/>
        <item x="393"/>
        <item x="161"/>
        <item x="312"/>
        <item x="218"/>
        <item x="370"/>
        <item x="409"/>
        <item x="153"/>
        <item x="254"/>
        <item t="default"/>
      </items>
    </pivotField>
    <pivotField compact="0" numFmtId="179" showAll="0"/>
    <pivotField measureFilter="1" compact="0" sortType="descending" showAll="0">
      <items count="25">
        <item x="4"/>
        <item x="2"/>
        <item x="3"/>
        <item x="13"/>
        <item x="0"/>
        <item x="12"/>
        <item x="9"/>
        <item x="18"/>
        <item x="19"/>
        <item x="21"/>
        <item x="10"/>
        <item x="1"/>
        <item x="11"/>
        <item x="8"/>
        <item x="23"/>
        <item x="7"/>
        <item x="17"/>
        <item x="20"/>
        <item x="14"/>
        <item x="15"/>
        <item x="22"/>
        <item x="16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Total_HT" fld="8" baseField="0" baseItem="0"/>
  </dataFields>
  <pivotTableStyleInfo name="PivotStylePreset2_Accent1" showRowHeaders="1" showColHeaders="1"/>
  <filters count="1">
    <filter evalOrder="-1" fld="1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_x000a_dynamique4" cacheId="0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>
  <location ref="A23:B48" firstHeaderRow="1" firstDataRow="1" firstDataCol="1"/>
  <pivotFields count="11">
    <pivotField compact="0" showAll="0">
      <items count="4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dataField="1" compact="0" numFmtId="179" showAll="0">
      <items count="418">
        <item x="384"/>
        <item x="70"/>
        <item x="185"/>
        <item x="135"/>
        <item x="202"/>
        <item x="37"/>
        <item x="283"/>
        <item x="264"/>
        <item x="103"/>
        <item x="34"/>
        <item x="341"/>
        <item x="386"/>
        <item x="180"/>
        <item x="117"/>
        <item x="359"/>
        <item x="402"/>
        <item x="104"/>
        <item x="184"/>
        <item x="138"/>
        <item x="363"/>
        <item x="416"/>
        <item x="323"/>
        <item x="170"/>
        <item x="66"/>
        <item x="94"/>
        <item x="165"/>
        <item x="214"/>
        <item x="349"/>
        <item x="43"/>
        <item x="289"/>
        <item x="204"/>
        <item x="91"/>
        <item x="390"/>
        <item x="395"/>
        <item x="396"/>
        <item x="8"/>
        <item x="141"/>
        <item x="60"/>
        <item x="302"/>
        <item x="404"/>
        <item x="406"/>
        <item x="398"/>
        <item x="216"/>
        <item x="278"/>
        <item x="167"/>
        <item x="13"/>
        <item x="127"/>
        <item x="151"/>
        <item x="345"/>
        <item x="194"/>
        <item x="336"/>
        <item x="368"/>
        <item x="105"/>
        <item x="260"/>
        <item x="308"/>
        <item x="12"/>
        <item x="113"/>
        <item x="311"/>
        <item x="97"/>
        <item x="328"/>
        <item x="298"/>
        <item x="9"/>
        <item x="187"/>
        <item x="388"/>
        <item x="188"/>
        <item x="321"/>
        <item x="380"/>
        <item x="372"/>
        <item x="227"/>
        <item x="16"/>
        <item x="148"/>
        <item x="306"/>
        <item x="342"/>
        <item x="205"/>
        <item x="85"/>
        <item x="335"/>
        <item x="88"/>
        <item x="332"/>
        <item x="219"/>
        <item x="225"/>
        <item x="196"/>
        <item x="378"/>
        <item x="82"/>
        <item x="61"/>
        <item x="156"/>
        <item x="11"/>
        <item x="136"/>
        <item x="98"/>
        <item x="290"/>
        <item x="32"/>
        <item x="107"/>
        <item x="318"/>
        <item x="96"/>
        <item x="272"/>
        <item x="350"/>
        <item x="274"/>
        <item x="223"/>
        <item x="189"/>
        <item x="400"/>
        <item x="182"/>
        <item x="44"/>
        <item x="241"/>
        <item x="281"/>
        <item x="55"/>
        <item x="64"/>
        <item x="230"/>
        <item x="327"/>
        <item x="79"/>
        <item x="26"/>
        <item x="76"/>
        <item x="130"/>
        <item x="28"/>
        <item x="116"/>
        <item x="226"/>
        <item x="31"/>
        <item x="111"/>
        <item x="360"/>
        <item x="248"/>
        <item x="365"/>
        <item x="366"/>
        <item x="399"/>
        <item x="166"/>
        <item x="109"/>
        <item x="337"/>
        <item x="408"/>
        <item x="213"/>
        <item x="47"/>
        <item x="280"/>
        <item x="382"/>
        <item x="177"/>
        <item x="340"/>
        <item x="201"/>
        <item x="215"/>
        <item x="203"/>
        <item x="123"/>
        <item x="361"/>
        <item x="145"/>
        <item x="53"/>
        <item x="268"/>
        <item x="14"/>
        <item x="364"/>
        <item x="22"/>
        <item x="301"/>
        <item x="191"/>
        <item x="83"/>
        <item x="163"/>
        <item x="309"/>
        <item x="217"/>
        <item x="374"/>
        <item x="86"/>
        <item x="210"/>
        <item x="405"/>
        <item x="48"/>
        <item x="315"/>
        <item x="285"/>
        <item x="317"/>
        <item x="410"/>
        <item x="276"/>
        <item x="162"/>
        <item x="39"/>
        <item x="20"/>
        <item x="29"/>
        <item x="90"/>
        <item x="158"/>
        <item x="176"/>
        <item x="385"/>
        <item x="286"/>
        <item x="294"/>
        <item x="351"/>
        <item x="50"/>
        <item x="234"/>
        <item x="231"/>
        <item x="379"/>
        <item x="63"/>
        <item x="149"/>
        <item x="253"/>
        <item x="128"/>
        <item x="275"/>
        <item x="243"/>
        <item x="124"/>
        <item x="45"/>
        <item x="352"/>
        <item x="282"/>
        <item x="305"/>
        <item x="330"/>
        <item x="279"/>
        <item x="92"/>
        <item x="334"/>
        <item x="87"/>
        <item x="401"/>
        <item x="262"/>
        <item x="192"/>
        <item x="118"/>
        <item x="101"/>
        <item x="65"/>
        <item x="358"/>
        <item x="348"/>
        <item x="387"/>
        <item x="373"/>
        <item x="224"/>
        <item x="17"/>
        <item x="322"/>
        <item x="121"/>
        <item x="169"/>
        <item x="102"/>
        <item x="242"/>
        <item x="110"/>
        <item x="144"/>
        <item x="266"/>
        <item x="255"/>
        <item x="271"/>
        <item x="249"/>
        <item x="371"/>
        <item x="129"/>
        <item x="5"/>
        <item x="146"/>
        <item x="413"/>
        <item x="58"/>
        <item x="354"/>
        <item x="247"/>
        <item x="62"/>
        <item x="3"/>
        <item x="228"/>
        <item x="18"/>
        <item x="229"/>
        <item x="270"/>
        <item x="132"/>
        <item x="391"/>
        <item x="36"/>
        <item x="84"/>
        <item x="24"/>
        <item x="331"/>
        <item x="6"/>
        <item x="108"/>
        <item x="375"/>
        <item x="77"/>
        <item x="314"/>
        <item x="235"/>
        <item x="46"/>
        <item x="287"/>
        <item x="199"/>
        <item x="81"/>
        <item x="19"/>
        <item x="33"/>
        <item x="269"/>
        <item x="69"/>
        <item x="221"/>
        <item x="152"/>
        <item x="38"/>
        <item x="291"/>
        <item x="49"/>
        <item x="75"/>
        <item x="353"/>
        <item x="377"/>
        <item x="346"/>
        <item x="329"/>
        <item x="362"/>
        <item x="0"/>
        <item x="320"/>
        <item x="389"/>
        <item x="56"/>
        <item x="95"/>
        <item x="347"/>
        <item x="51"/>
        <item x="25"/>
        <item x="339"/>
        <item x="160"/>
        <item x="206"/>
        <item x="394"/>
        <item x="265"/>
        <item x="147"/>
        <item x="415"/>
        <item x="4"/>
        <item x="52"/>
        <item x="245"/>
        <item x="168"/>
        <item x="304"/>
        <item x="183"/>
        <item x="80"/>
        <item x="112"/>
        <item x="7"/>
        <item x="140"/>
        <item x="220"/>
        <item x="251"/>
        <item x="256"/>
        <item x="193"/>
        <item x="106"/>
        <item x="299"/>
        <item x="324"/>
        <item x="207"/>
        <item x="171"/>
        <item x="277"/>
        <item x="154"/>
        <item x="131"/>
        <item x="54"/>
        <item x="42"/>
        <item x="197"/>
        <item x="15"/>
        <item x="338"/>
        <item x="179"/>
        <item x="68"/>
        <item x="71"/>
        <item x="344"/>
        <item x="57"/>
        <item x="93"/>
        <item x="407"/>
        <item x="195"/>
        <item x="240"/>
        <item x="412"/>
        <item x="208"/>
        <item x="186"/>
        <item x="99"/>
        <item x="244"/>
        <item x="233"/>
        <item x="295"/>
        <item x="178"/>
        <item x="307"/>
        <item x="232"/>
        <item x="23"/>
        <item x="40"/>
        <item x="411"/>
        <item x="383"/>
        <item x="41"/>
        <item x="273"/>
        <item x="21"/>
        <item x="173"/>
        <item x="239"/>
        <item x="316"/>
        <item x="292"/>
        <item x="78"/>
        <item x="355"/>
        <item x="209"/>
        <item x="30"/>
        <item x="137"/>
        <item x="172"/>
        <item x="319"/>
        <item x="326"/>
        <item x="303"/>
        <item x="122"/>
        <item x="293"/>
        <item x="120"/>
        <item x="67"/>
        <item x="252"/>
        <item x="155"/>
        <item x="115"/>
        <item x="125"/>
        <item x="357"/>
        <item x="27"/>
        <item x="310"/>
        <item x="157"/>
        <item x="164"/>
        <item x="119"/>
        <item x="10"/>
        <item x="2"/>
        <item x="35"/>
        <item x="343"/>
        <item x="126"/>
        <item x="174"/>
        <item x="150"/>
        <item x="72"/>
        <item x="392"/>
        <item x="236"/>
        <item x="284"/>
        <item x="238"/>
        <item x="159"/>
        <item x="300"/>
        <item x="250"/>
        <item x="397"/>
        <item x="246"/>
        <item x="376"/>
        <item x="59"/>
        <item x="296"/>
        <item x="175"/>
        <item x="89"/>
        <item x="367"/>
        <item x="237"/>
        <item x="414"/>
        <item x="1"/>
        <item x="257"/>
        <item x="222"/>
        <item x="381"/>
        <item x="211"/>
        <item x="74"/>
        <item x="114"/>
        <item x="259"/>
        <item x="100"/>
        <item x="212"/>
        <item x="267"/>
        <item x="142"/>
        <item x="190"/>
        <item x="181"/>
        <item x="288"/>
        <item x="133"/>
        <item x="369"/>
        <item x="134"/>
        <item x="313"/>
        <item x="258"/>
        <item x="403"/>
        <item x="139"/>
        <item x="297"/>
        <item x="73"/>
        <item x="333"/>
        <item x="198"/>
        <item x="143"/>
        <item x="325"/>
        <item x="200"/>
        <item x="263"/>
        <item x="356"/>
        <item x="261"/>
        <item x="393"/>
        <item x="161"/>
        <item x="312"/>
        <item x="218"/>
        <item x="370"/>
        <item x="409"/>
        <item x="153"/>
        <item x="254"/>
        <item t="default"/>
      </items>
    </pivotField>
    <pivotField compact="0" numFmtId="179" showAll="0"/>
    <pivotField axis="axisRow" compact="0" sortType="descending" showAll="0">
      <items count="25">
        <item x="6"/>
        <item x="5"/>
        <item x="16"/>
        <item x="22"/>
        <item x="15"/>
        <item x="14"/>
        <item x="20"/>
        <item x="17"/>
        <item x="7"/>
        <item x="23"/>
        <item x="8"/>
        <item x="11"/>
        <item x="1"/>
        <item x="10"/>
        <item x="21"/>
        <item x="19"/>
        <item x="18"/>
        <item x="9"/>
        <item x="12"/>
        <item x="0"/>
        <item x="13"/>
        <item x="3"/>
        <item x="2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25">
    <i>
      <x v="17"/>
    </i>
    <i>
      <x v="9"/>
    </i>
    <i>
      <x v="1"/>
    </i>
    <i>
      <x v="10"/>
    </i>
    <i>
      <x v="19"/>
    </i>
    <i>
      <x v="2"/>
    </i>
    <i>
      <x v="20"/>
    </i>
    <i>
      <x v="22"/>
    </i>
    <i>
      <x v="7"/>
    </i>
    <i>
      <x v="5"/>
    </i>
    <i>
      <x v="8"/>
    </i>
    <i>
      <x v="13"/>
    </i>
    <i>
      <x/>
    </i>
    <i>
      <x v="15"/>
    </i>
    <i>
      <x v="23"/>
    </i>
    <i>
      <x v="12"/>
    </i>
    <i>
      <x v="21"/>
    </i>
    <i>
      <x v="4"/>
    </i>
    <i>
      <x v="18"/>
    </i>
    <i>
      <x v="11"/>
    </i>
    <i>
      <x v="14"/>
    </i>
    <i>
      <x v="16"/>
    </i>
    <i>
      <x v="3"/>
    </i>
    <i>
      <x v="6"/>
    </i>
    <i t="grand">
      <x/>
    </i>
  </rowItems>
  <colItems count="1">
    <i/>
  </colItems>
  <dataFields count="1">
    <dataField name="Somme de Total_HT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_x000a_dynamique2" cacheId="1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 chartFormat="2">
  <location ref="E25:F50" firstHeaderRow="1" firstDataRow="1" firstDataCol="1"/>
  <pivotFields count="2">
    <pivotField axis="axisRow" compact="0" sortType="descending" multipleItemSelectionAllowed="1" showAll="0">
      <items count="26">
        <item x="12"/>
        <item x="2"/>
        <item x="5"/>
        <item x="22"/>
        <item x="17"/>
        <item x="9"/>
        <item x="23"/>
        <item x="8"/>
        <item x="10"/>
        <item x="1"/>
        <item x="3"/>
        <item x="19"/>
        <item x="15"/>
        <item x="11"/>
        <item x="20"/>
        <item x="13"/>
        <item x="21"/>
        <item x="0"/>
        <item x="18"/>
        <item x="4"/>
        <item x="6"/>
        <item x="16"/>
        <item x="7"/>
        <item x="14"/>
        <item h="1" x="2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26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4"/>
        <item t="default"/>
      </items>
    </pivotField>
  </pivotFields>
  <rowFields count="1">
    <field x="0"/>
  </rowFields>
  <rowItems count="25">
    <i>
      <x v="17"/>
    </i>
    <i>
      <x v="9"/>
    </i>
    <i>
      <x v="1"/>
    </i>
    <i>
      <x v="10"/>
    </i>
    <i>
      <x v="19"/>
    </i>
    <i>
      <x v="2"/>
    </i>
    <i>
      <x v="20"/>
    </i>
    <i>
      <x v="22"/>
    </i>
    <i>
      <x v="7"/>
    </i>
    <i>
      <x v="5"/>
    </i>
    <i>
      <x v="8"/>
    </i>
    <i>
      <x v="13"/>
    </i>
    <i>
      <x/>
    </i>
    <i>
      <x v="15"/>
    </i>
    <i>
      <x v="23"/>
    </i>
    <i>
      <x v="12"/>
    </i>
    <i>
      <x v="21"/>
    </i>
    <i>
      <x v="4"/>
    </i>
    <i>
      <x v="18"/>
    </i>
    <i>
      <x v="11"/>
    </i>
    <i>
      <x v="14"/>
    </i>
    <i>
      <x v="16"/>
    </i>
    <i>
      <x v="3"/>
    </i>
    <i>
      <x v="6"/>
    </i>
    <i t="grand">
      <x/>
    </i>
  </rowItems>
  <colItems count="1">
    <i/>
  </colItems>
  <dataFields count="1">
    <dataField name="Somme de Somme de Total_HT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ClientsTable" displayName="ClientsTable" ref="A1:K121">
  <tableColumns count="11">
    <tableColumn id="1" name="ID_Client"/>
    <tableColumn id="2" name="Nom"/>
    <tableColumn id="3" name="Prénom"/>
    <tableColumn id="4" name="Email"/>
    <tableColumn id="5" name="Ville"/>
    <tableColumn id="6" name="Région"/>
    <tableColumn id="7" name="Pays"/>
    <tableColumn id="8" name="Segment"/>
    <tableColumn id="9" name="Date_Inscription"/>
    <tableColumn id="10" name="Canal_Acquisition"/>
    <tableColumn id="11" name="Acti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itsTable" displayName="ProduitsTable" ref="A1:I51">
  <tableColumns count="9">
    <tableColumn id="1" name="ID_Produit"/>
    <tableColumn id="2" name="Nom_Produit"/>
    <tableColumn id="3" name="Catégorie"/>
    <tableColumn id="4" name="Marque"/>
    <tableColumn id="5" name="Prix_Unitaire_HT"/>
    <tableColumn id="6" name="Coût_Achat_HT"/>
    <tableColumn id="7" name="Marge_Unitaire_HT"/>
    <tableColumn id="8" name="Stock"/>
    <tableColumn id="9" name="Statut_Produ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esTable" displayName="EmployesTable" ref="A1:G11">
  <tableColumns count="7">
    <tableColumn id="1" name="ID_Employe"/>
    <tableColumn id="2" name="Nom"/>
    <tableColumn id="3" name="Prénom"/>
    <tableColumn id="4" name="Rôle"/>
    <tableColumn id="5" name="Agence"/>
    <tableColumn id="6" name="Date_Embauche"/>
    <tableColumn id="7" name="Objectif_CA_Mensuel_H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mandesTable" displayName="CommandesTable" ref="A1:J421">
  <tableColumns count="10">
    <tableColumn id="1" name="ID_Commande"/>
    <tableColumn id="2" name="Date_Commande"/>
    <tableColumn id="3" name="ID_Client"/>
    <tableColumn id="4" name="ID_Employe"/>
    <tableColumn id="5" name="Canal_Vente"/>
    <tableColumn id="6" name="Statut_Commande"/>
    <tableColumn id="7" name="Mode_Paiement"/>
    <tableColumn id="8" name="Frais_Livraison_HT"/>
    <tableColumn id="9" name="Total_HT"/>
    <tableColumn id="10" name="Total_TT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gnesCommandesTable" displayName="LignesCommandesTable" ref="A1:I966">
  <tableColumns count="9">
    <tableColumn id="1" name="ID_Ligne"/>
    <tableColumn id="2" name="ID_Commande"/>
    <tableColumn id="3" name="ID_Produit"/>
    <tableColumn id="4" name="Quantité"/>
    <tableColumn id="5" name="Prix_Unitaire_HT"/>
    <tableColumn id="6" name="Remise_%"/>
    <tableColumn id="7" name="CA_HT"/>
    <tableColumn id="8" name="TVA"/>
    <tableColumn id="9" name="CA_TT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ctionnaireTable" displayName="DictionnaireTable" ref="A1:D15">
  <tableColumns count="4">
    <tableColumn id="1" name="Table"/>
    <tableColumn id="2" name="Champ"/>
    <tableColumn id="3" name="Description"/>
    <tableColumn id="4" name="Exemp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LignesCommandesTable_9" displayName="LignesCommandesTable_9" ref="A1:I966">
  <tableColumns count="9">
    <tableColumn id="1" name="ID_Ligne"/>
    <tableColumn id="2" name="ID_Commande"/>
    <tableColumn id="3" name="ID_Produit"/>
    <tableColumn id="4" name="Quantité"/>
    <tableColumn id="5" name="Prix_Unitaire_HT"/>
    <tableColumn id="6" name="Remise_%"/>
    <tableColumn id="7" name="CA_HT"/>
    <tableColumn id="8" name="TVA"/>
    <tableColumn id="9" name="CA_T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"/>
    </sheetView>
  </sheetViews>
  <sheetFormatPr defaultColWidth="9" defaultRowHeight="14" outlineLevelCol="1"/>
  <cols>
    <col min="1" max="1" width="18" customWidth="1"/>
    <col min="2" max="2" width="95" customWidth="1"/>
  </cols>
  <sheetData>
    <row r="1" ht="20" spans="1:2">
      <c r="A1" s="42" t="s">
        <v>0</v>
      </c>
      <c r="B1" s="43"/>
    </row>
    <row r="2" spans="1:2">
      <c r="A2" t="s">
        <v>1</v>
      </c>
    </row>
    <row r="3" spans="1:2">
      <c r="A3" s="44" t="s">
        <v>2</v>
      </c>
      <c r="B3" t="s">
        <v>3</v>
      </c>
    </row>
    <row r="4" spans="1:2">
      <c r="A4" s="44" t="s">
        <v>4</v>
      </c>
      <c r="B4" t="s">
        <v>5</v>
      </c>
    </row>
    <row r="5" spans="1:2">
      <c r="A5" s="44" t="s">
        <v>6</v>
      </c>
      <c r="B5" t="s">
        <v>7</v>
      </c>
    </row>
    <row r="6" spans="1:2">
      <c r="A6" s="44" t="s">
        <v>8</v>
      </c>
      <c r="B6" t="s">
        <v>9</v>
      </c>
    </row>
    <row r="7" spans="1:2">
      <c r="A7" s="44" t="s">
        <v>10</v>
      </c>
      <c r="B7" t="s">
        <v>11</v>
      </c>
    </row>
    <row r="8" spans="1:2">
      <c r="A8" s="44" t="s">
        <v>12</v>
      </c>
      <c r="B8" t="s">
        <v>13</v>
      </c>
    </row>
    <row r="9" spans="1:2">
      <c r="A9" s="44" t="s">
        <v>14</v>
      </c>
      <c r="B9" t="s">
        <v>15</v>
      </c>
    </row>
    <row r="10" spans="1:2">
      <c r="A10" s="44" t="s">
        <v>16</v>
      </c>
      <c r="B10" t="s">
        <v>17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1"/>
  <sheetViews>
    <sheetView topLeftCell="A99" workbookViewId="0">
      <selection activeCell="A1" sqref="A1"/>
    </sheetView>
  </sheetViews>
  <sheetFormatPr defaultColWidth="9" defaultRowHeight="14"/>
  <cols>
    <col min="1" max="1" width="14" customWidth="1"/>
    <col min="2" max="11" width="16" customWidth="1"/>
  </cols>
  <sheetData>
    <row r="1" ht="15" customHeight="1" spans="1:1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24</v>
      </c>
      <c r="H1" s="25" t="s">
        <v>25</v>
      </c>
      <c r="I1" s="25" t="s">
        <v>26</v>
      </c>
      <c r="J1" s="25" t="s">
        <v>27</v>
      </c>
      <c r="K1" s="25" t="s">
        <v>28</v>
      </c>
    </row>
    <row r="2" ht="15" customHeight="1" spans="1:11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s="41">
        <v>45177</v>
      </c>
      <c r="J2" t="s">
        <v>37</v>
      </c>
      <c r="K2" t="s">
        <v>38</v>
      </c>
    </row>
    <row r="3" ht="15" customHeight="1" spans="1:11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43</v>
      </c>
      <c r="G3" t="s">
        <v>44</v>
      </c>
      <c r="H3" t="s">
        <v>36</v>
      </c>
      <c r="I3" s="41">
        <v>45016</v>
      </c>
      <c r="J3" t="s">
        <v>45</v>
      </c>
      <c r="K3" t="s">
        <v>38</v>
      </c>
    </row>
    <row r="4" ht="15" customHeight="1" spans="1:11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35</v>
      </c>
      <c r="H4" t="s">
        <v>52</v>
      </c>
      <c r="I4" s="41">
        <v>45543</v>
      </c>
      <c r="J4" t="s">
        <v>53</v>
      </c>
      <c r="K4" t="s">
        <v>38</v>
      </c>
    </row>
    <row r="5" ht="15" customHeight="1" spans="1:11">
      <c r="A5" t="s">
        <v>54</v>
      </c>
      <c r="B5" t="s">
        <v>55</v>
      </c>
      <c r="C5" t="s">
        <v>56</v>
      </c>
      <c r="D5" t="s">
        <v>57</v>
      </c>
      <c r="E5" t="s">
        <v>43</v>
      </c>
      <c r="F5" t="s">
        <v>43</v>
      </c>
      <c r="G5" t="s">
        <v>44</v>
      </c>
      <c r="H5" t="s">
        <v>52</v>
      </c>
      <c r="I5" s="41">
        <v>45152</v>
      </c>
      <c r="J5" t="s">
        <v>58</v>
      </c>
      <c r="K5" t="s">
        <v>38</v>
      </c>
    </row>
    <row r="6" ht="15" customHeight="1" spans="1:11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35</v>
      </c>
      <c r="H6" t="s">
        <v>52</v>
      </c>
      <c r="I6" s="41">
        <v>45275</v>
      </c>
      <c r="J6" t="s">
        <v>65</v>
      </c>
      <c r="K6" t="s">
        <v>38</v>
      </c>
    </row>
    <row r="7" ht="15" customHeight="1" spans="1:11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35</v>
      </c>
      <c r="H7" t="s">
        <v>52</v>
      </c>
      <c r="I7" s="41">
        <v>45026</v>
      </c>
      <c r="J7" t="s">
        <v>65</v>
      </c>
      <c r="K7" t="s">
        <v>38</v>
      </c>
    </row>
    <row r="8" ht="15" customHeight="1" spans="1:11">
      <c r="A8" t="s">
        <v>72</v>
      </c>
      <c r="B8" t="s">
        <v>73</v>
      </c>
      <c r="C8" t="s">
        <v>74</v>
      </c>
      <c r="D8" t="s">
        <v>75</v>
      </c>
      <c r="E8" t="s">
        <v>33</v>
      </c>
      <c r="F8" t="s">
        <v>34</v>
      </c>
      <c r="G8" t="s">
        <v>35</v>
      </c>
      <c r="H8" t="s">
        <v>36</v>
      </c>
      <c r="I8" s="41">
        <v>45476</v>
      </c>
      <c r="J8" t="s">
        <v>53</v>
      </c>
      <c r="K8" t="s">
        <v>76</v>
      </c>
    </row>
    <row r="9" ht="15" customHeight="1" spans="1:11">
      <c r="A9" t="s">
        <v>77</v>
      </c>
      <c r="B9" t="s">
        <v>47</v>
      </c>
      <c r="C9" t="s">
        <v>78</v>
      </c>
      <c r="D9" t="s">
        <v>79</v>
      </c>
      <c r="E9" t="s">
        <v>80</v>
      </c>
      <c r="F9" t="s">
        <v>81</v>
      </c>
      <c r="G9" t="s">
        <v>35</v>
      </c>
      <c r="H9" t="s">
        <v>52</v>
      </c>
      <c r="I9" s="41">
        <v>45570</v>
      </c>
      <c r="J9" t="s">
        <v>45</v>
      </c>
      <c r="K9" t="s">
        <v>76</v>
      </c>
    </row>
    <row r="10" ht="15" customHeight="1" spans="1:11">
      <c r="A10" t="s">
        <v>82</v>
      </c>
      <c r="B10" t="s">
        <v>83</v>
      </c>
      <c r="C10" t="s">
        <v>84</v>
      </c>
      <c r="D10" t="s">
        <v>85</v>
      </c>
      <c r="E10" t="s">
        <v>50</v>
      </c>
      <c r="F10" t="s">
        <v>51</v>
      </c>
      <c r="G10" t="s">
        <v>35</v>
      </c>
      <c r="H10" t="s">
        <v>36</v>
      </c>
      <c r="I10" s="41">
        <v>44973</v>
      </c>
      <c r="J10" t="s">
        <v>37</v>
      </c>
      <c r="K10" t="s">
        <v>38</v>
      </c>
    </row>
    <row r="11" ht="15" customHeight="1" spans="1:11">
      <c r="A11" t="s">
        <v>86</v>
      </c>
      <c r="B11" t="s">
        <v>87</v>
      </c>
      <c r="C11" t="s">
        <v>88</v>
      </c>
      <c r="D11" t="s">
        <v>89</v>
      </c>
      <c r="E11" t="s">
        <v>70</v>
      </c>
      <c r="F11" t="s">
        <v>71</v>
      </c>
      <c r="G11" t="s">
        <v>35</v>
      </c>
      <c r="H11" t="s">
        <v>52</v>
      </c>
      <c r="I11" s="41">
        <v>45391</v>
      </c>
      <c r="J11" t="s">
        <v>65</v>
      </c>
      <c r="K11" t="s">
        <v>38</v>
      </c>
    </row>
    <row r="12" ht="15" customHeight="1" spans="1:11">
      <c r="A12" t="s">
        <v>90</v>
      </c>
      <c r="B12" t="s">
        <v>91</v>
      </c>
      <c r="C12" t="s">
        <v>84</v>
      </c>
      <c r="D12" t="s">
        <v>92</v>
      </c>
      <c r="E12" t="s">
        <v>93</v>
      </c>
      <c r="F12" t="s">
        <v>93</v>
      </c>
      <c r="G12" t="s">
        <v>94</v>
      </c>
      <c r="H12" t="s">
        <v>52</v>
      </c>
      <c r="I12" s="41">
        <v>45626</v>
      </c>
      <c r="J12" t="s">
        <v>53</v>
      </c>
      <c r="K12" t="s">
        <v>38</v>
      </c>
    </row>
    <row r="13" ht="15" customHeight="1" spans="1:11">
      <c r="A13" t="s">
        <v>95</v>
      </c>
      <c r="B13" t="s">
        <v>96</v>
      </c>
      <c r="C13" t="s">
        <v>97</v>
      </c>
      <c r="D13" t="s">
        <v>98</v>
      </c>
      <c r="E13" t="s">
        <v>43</v>
      </c>
      <c r="F13" t="s">
        <v>43</v>
      </c>
      <c r="G13" t="s">
        <v>44</v>
      </c>
      <c r="H13" t="s">
        <v>52</v>
      </c>
      <c r="I13" s="41">
        <v>45400</v>
      </c>
      <c r="J13" t="s">
        <v>58</v>
      </c>
      <c r="K13" t="s">
        <v>38</v>
      </c>
    </row>
    <row r="14" ht="15" customHeight="1" spans="1:11">
      <c r="A14" t="s">
        <v>99</v>
      </c>
      <c r="B14" t="s">
        <v>55</v>
      </c>
      <c r="C14" t="s">
        <v>100</v>
      </c>
      <c r="D14" t="s">
        <v>101</v>
      </c>
      <c r="E14" t="s">
        <v>43</v>
      </c>
      <c r="F14" t="s">
        <v>43</v>
      </c>
      <c r="G14" t="s">
        <v>44</v>
      </c>
      <c r="H14" t="s">
        <v>52</v>
      </c>
      <c r="I14" s="41">
        <v>45628</v>
      </c>
      <c r="J14" t="s">
        <v>65</v>
      </c>
      <c r="K14" t="s">
        <v>38</v>
      </c>
    </row>
    <row r="15" ht="15" customHeight="1" spans="1:11">
      <c r="A15" t="s">
        <v>102</v>
      </c>
      <c r="B15" t="s">
        <v>103</v>
      </c>
      <c r="C15" t="s">
        <v>68</v>
      </c>
      <c r="D15" t="s">
        <v>104</v>
      </c>
      <c r="E15" t="s">
        <v>50</v>
      </c>
      <c r="F15" t="s">
        <v>51</v>
      </c>
      <c r="G15" t="s">
        <v>35</v>
      </c>
      <c r="H15" t="s">
        <v>36</v>
      </c>
      <c r="I15" s="41">
        <v>45250</v>
      </c>
      <c r="J15" t="s">
        <v>58</v>
      </c>
      <c r="K15" t="s">
        <v>38</v>
      </c>
    </row>
    <row r="16" ht="15" customHeight="1" spans="1:11">
      <c r="A16" t="s">
        <v>105</v>
      </c>
      <c r="B16" t="s">
        <v>83</v>
      </c>
      <c r="C16" t="s">
        <v>106</v>
      </c>
      <c r="D16" t="s">
        <v>107</v>
      </c>
      <c r="E16" t="s">
        <v>43</v>
      </c>
      <c r="F16" t="s">
        <v>43</v>
      </c>
      <c r="G16" t="s">
        <v>44</v>
      </c>
      <c r="H16" t="s">
        <v>52</v>
      </c>
      <c r="I16" s="41">
        <v>45598</v>
      </c>
      <c r="J16" t="s">
        <v>58</v>
      </c>
      <c r="K16" t="s">
        <v>38</v>
      </c>
    </row>
    <row r="17" ht="15" customHeight="1" spans="1:11">
      <c r="A17" t="s">
        <v>108</v>
      </c>
      <c r="B17" t="s">
        <v>55</v>
      </c>
      <c r="C17" t="s">
        <v>100</v>
      </c>
      <c r="D17" t="s">
        <v>109</v>
      </c>
      <c r="E17" t="s">
        <v>110</v>
      </c>
      <c r="F17" t="s">
        <v>34</v>
      </c>
      <c r="G17" t="s">
        <v>35</v>
      </c>
      <c r="H17" t="s">
        <v>52</v>
      </c>
      <c r="I17" s="41">
        <v>45069</v>
      </c>
      <c r="J17" t="s">
        <v>37</v>
      </c>
      <c r="K17" t="s">
        <v>38</v>
      </c>
    </row>
    <row r="18" ht="15" customHeight="1" spans="1:11">
      <c r="A18" t="s">
        <v>111</v>
      </c>
      <c r="B18" t="s">
        <v>73</v>
      </c>
      <c r="C18" t="s">
        <v>112</v>
      </c>
      <c r="D18" t="s">
        <v>113</v>
      </c>
      <c r="E18" t="s">
        <v>43</v>
      </c>
      <c r="F18" t="s">
        <v>43</v>
      </c>
      <c r="G18" t="s">
        <v>44</v>
      </c>
      <c r="H18" t="s">
        <v>52</v>
      </c>
      <c r="I18" s="41">
        <v>45524</v>
      </c>
      <c r="J18" t="s">
        <v>58</v>
      </c>
      <c r="K18" t="s">
        <v>38</v>
      </c>
    </row>
    <row r="19" ht="15" customHeight="1" spans="1:11">
      <c r="A19" t="s">
        <v>114</v>
      </c>
      <c r="B19" t="s">
        <v>115</v>
      </c>
      <c r="C19" t="s">
        <v>116</v>
      </c>
      <c r="D19" t="s">
        <v>117</v>
      </c>
      <c r="E19" t="s">
        <v>110</v>
      </c>
      <c r="F19" t="s">
        <v>34</v>
      </c>
      <c r="G19" t="s">
        <v>35</v>
      </c>
      <c r="H19" t="s">
        <v>52</v>
      </c>
      <c r="I19" s="41">
        <v>44975</v>
      </c>
      <c r="J19" t="s">
        <v>53</v>
      </c>
      <c r="K19" t="s">
        <v>38</v>
      </c>
    </row>
    <row r="20" ht="15" customHeight="1" spans="1:11">
      <c r="A20" t="s">
        <v>118</v>
      </c>
      <c r="B20" t="s">
        <v>119</v>
      </c>
      <c r="C20" t="s">
        <v>97</v>
      </c>
      <c r="D20" t="s">
        <v>120</v>
      </c>
      <c r="E20" t="s">
        <v>93</v>
      </c>
      <c r="F20" t="s">
        <v>93</v>
      </c>
      <c r="G20" t="s">
        <v>94</v>
      </c>
      <c r="H20" t="s">
        <v>52</v>
      </c>
      <c r="I20" s="41">
        <v>44992</v>
      </c>
      <c r="J20" t="s">
        <v>58</v>
      </c>
      <c r="K20" t="s">
        <v>38</v>
      </c>
    </row>
    <row r="21" ht="15" customHeight="1" spans="1:11">
      <c r="A21" t="s">
        <v>121</v>
      </c>
      <c r="B21" t="s">
        <v>115</v>
      </c>
      <c r="C21" t="s">
        <v>122</v>
      </c>
      <c r="D21" t="s">
        <v>123</v>
      </c>
      <c r="E21" t="s">
        <v>124</v>
      </c>
      <c r="F21" t="s">
        <v>125</v>
      </c>
      <c r="G21" t="s">
        <v>35</v>
      </c>
      <c r="H21" t="s">
        <v>126</v>
      </c>
      <c r="I21" s="41">
        <v>44938</v>
      </c>
      <c r="J21" t="s">
        <v>53</v>
      </c>
      <c r="K21" t="s">
        <v>38</v>
      </c>
    </row>
    <row r="22" ht="15" customHeight="1" spans="1:11">
      <c r="A22" t="s">
        <v>127</v>
      </c>
      <c r="B22" t="s">
        <v>128</v>
      </c>
      <c r="C22" t="s">
        <v>112</v>
      </c>
      <c r="D22" t="s">
        <v>129</v>
      </c>
      <c r="E22" t="s">
        <v>124</v>
      </c>
      <c r="F22" t="s">
        <v>125</v>
      </c>
      <c r="G22" t="s">
        <v>35</v>
      </c>
      <c r="H22" t="s">
        <v>36</v>
      </c>
      <c r="I22" s="41">
        <v>45275</v>
      </c>
      <c r="J22" t="s">
        <v>53</v>
      </c>
      <c r="K22" t="s">
        <v>38</v>
      </c>
    </row>
    <row r="23" ht="15" customHeight="1" spans="1:11">
      <c r="A23" t="s">
        <v>130</v>
      </c>
      <c r="B23" t="s">
        <v>131</v>
      </c>
      <c r="C23" t="s">
        <v>97</v>
      </c>
      <c r="D23" t="s">
        <v>132</v>
      </c>
      <c r="E23" t="s">
        <v>33</v>
      </c>
      <c r="F23" t="s">
        <v>34</v>
      </c>
      <c r="G23" t="s">
        <v>35</v>
      </c>
      <c r="H23" t="s">
        <v>126</v>
      </c>
      <c r="I23" s="41">
        <v>45196</v>
      </c>
      <c r="J23" t="s">
        <v>45</v>
      </c>
      <c r="K23" t="s">
        <v>38</v>
      </c>
    </row>
    <row r="24" ht="15" customHeight="1" spans="1:11">
      <c r="A24" t="s">
        <v>133</v>
      </c>
      <c r="B24" t="s">
        <v>30</v>
      </c>
      <c r="C24" t="s">
        <v>134</v>
      </c>
      <c r="D24" t="s">
        <v>135</v>
      </c>
      <c r="E24" t="s">
        <v>93</v>
      </c>
      <c r="F24" t="s">
        <v>93</v>
      </c>
      <c r="G24" t="s">
        <v>94</v>
      </c>
      <c r="H24" t="s">
        <v>52</v>
      </c>
      <c r="I24" s="41">
        <v>45581</v>
      </c>
      <c r="J24" t="s">
        <v>45</v>
      </c>
      <c r="K24" t="s">
        <v>38</v>
      </c>
    </row>
    <row r="25" ht="15" customHeight="1" spans="1:11">
      <c r="A25" t="s">
        <v>136</v>
      </c>
      <c r="B25" t="s">
        <v>137</v>
      </c>
      <c r="C25" t="s">
        <v>116</v>
      </c>
      <c r="D25" t="s">
        <v>138</v>
      </c>
      <c r="E25" t="s">
        <v>63</v>
      </c>
      <c r="F25" t="s">
        <v>64</v>
      </c>
      <c r="G25" t="s">
        <v>35</v>
      </c>
      <c r="H25" t="s">
        <v>52</v>
      </c>
      <c r="I25" s="41">
        <v>45470</v>
      </c>
      <c r="J25" t="s">
        <v>53</v>
      </c>
      <c r="K25" t="s">
        <v>38</v>
      </c>
    </row>
    <row r="26" ht="15" customHeight="1" spans="1:11">
      <c r="A26" t="s">
        <v>139</v>
      </c>
      <c r="B26" t="s">
        <v>60</v>
      </c>
      <c r="C26" t="s">
        <v>140</v>
      </c>
      <c r="D26" t="s">
        <v>141</v>
      </c>
      <c r="E26" t="s">
        <v>70</v>
      </c>
      <c r="F26" t="s">
        <v>71</v>
      </c>
      <c r="G26" t="s">
        <v>35</v>
      </c>
      <c r="H26" t="s">
        <v>36</v>
      </c>
      <c r="I26" s="41">
        <v>45241</v>
      </c>
      <c r="J26" t="s">
        <v>37</v>
      </c>
      <c r="K26" t="s">
        <v>38</v>
      </c>
    </row>
    <row r="27" ht="15" customHeight="1" spans="1:11">
      <c r="A27" t="s">
        <v>142</v>
      </c>
      <c r="B27" t="s">
        <v>83</v>
      </c>
      <c r="C27" t="s">
        <v>143</v>
      </c>
      <c r="D27" t="s">
        <v>144</v>
      </c>
      <c r="E27" t="s">
        <v>70</v>
      </c>
      <c r="F27" t="s">
        <v>71</v>
      </c>
      <c r="G27" t="s">
        <v>35</v>
      </c>
      <c r="H27" t="s">
        <v>52</v>
      </c>
      <c r="I27" s="41">
        <v>45424</v>
      </c>
      <c r="J27" t="s">
        <v>53</v>
      </c>
      <c r="K27" t="s">
        <v>76</v>
      </c>
    </row>
    <row r="28" ht="15" customHeight="1" spans="1:11">
      <c r="A28" t="s">
        <v>145</v>
      </c>
      <c r="B28" t="s">
        <v>128</v>
      </c>
      <c r="C28" t="s">
        <v>112</v>
      </c>
      <c r="D28" t="s">
        <v>146</v>
      </c>
      <c r="E28" t="s">
        <v>63</v>
      </c>
      <c r="F28" t="s">
        <v>64</v>
      </c>
      <c r="G28" t="s">
        <v>35</v>
      </c>
      <c r="H28" t="s">
        <v>52</v>
      </c>
      <c r="I28" s="41">
        <v>45413</v>
      </c>
      <c r="J28" t="s">
        <v>45</v>
      </c>
      <c r="K28" t="s">
        <v>38</v>
      </c>
    </row>
    <row r="29" ht="15" customHeight="1" spans="1:11">
      <c r="A29" t="s">
        <v>147</v>
      </c>
      <c r="B29" t="s">
        <v>148</v>
      </c>
      <c r="C29" t="s">
        <v>134</v>
      </c>
      <c r="D29" t="s">
        <v>149</v>
      </c>
      <c r="E29" t="s">
        <v>150</v>
      </c>
      <c r="F29" t="s">
        <v>151</v>
      </c>
      <c r="G29" t="s">
        <v>35</v>
      </c>
      <c r="H29" t="s">
        <v>126</v>
      </c>
      <c r="I29" s="41">
        <v>45479</v>
      </c>
      <c r="J29" t="s">
        <v>37</v>
      </c>
      <c r="K29" t="s">
        <v>38</v>
      </c>
    </row>
    <row r="30" ht="15" customHeight="1" spans="1:11">
      <c r="A30" t="s">
        <v>152</v>
      </c>
      <c r="B30" t="s">
        <v>40</v>
      </c>
      <c r="C30" t="s">
        <v>78</v>
      </c>
      <c r="D30" t="s">
        <v>153</v>
      </c>
      <c r="E30" t="s">
        <v>93</v>
      </c>
      <c r="F30" t="s">
        <v>93</v>
      </c>
      <c r="G30" t="s">
        <v>94</v>
      </c>
      <c r="H30" t="s">
        <v>52</v>
      </c>
      <c r="I30" s="41">
        <v>45456</v>
      </c>
      <c r="J30" t="s">
        <v>58</v>
      </c>
      <c r="K30" t="s">
        <v>38</v>
      </c>
    </row>
    <row r="31" ht="15" customHeight="1" spans="1:11">
      <c r="A31" t="s">
        <v>154</v>
      </c>
      <c r="B31" t="s">
        <v>47</v>
      </c>
      <c r="C31" t="s">
        <v>155</v>
      </c>
      <c r="D31" t="s">
        <v>156</v>
      </c>
      <c r="E31" t="s">
        <v>157</v>
      </c>
      <c r="F31" t="s">
        <v>81</v>
      </c>
      <c r="G31" t="s">
        <v>35</v>
      </c>
      <c r="H31" t="s">
        <v>52</v>
      </c>
      <c r="I31" s="41">
        <v>45494</v>
      </c>
      <c r="J31" t="s">
        <v>37</v>
      </c>
      <c r="K31" t="s">
        <v>38</v>
      </c>
    </row>
    <row r="32" ht="15" customHeight="1" spans="1:11">
      <c r="A32" t="s">
        <v>158</v>
      </c>
      <c r="B32" t="s">
        <v>47</v>
      </c>
      <c r="C32" t="s">
        <v>48</v>
      </c>
      <c r="D32" t="s">
        <v>159</v>
      </c>
      <c r="E32" t="s">
        <v>43</v>
      </c>
      <c r="F32" t="s">
        <v>43</v>
      </c>
      <c r="G32" t="s">
        <v>44</v>
      </c>
      <c r="H32" t="s">
        <v>52</v>
      </c>
      <c r="I32" s="41">
        <v>45161</v>
      </c>
      <c r="J32" t="s">
        <v>53</v>
      </c>
      <c r="K32" t="s">
        <v>76</v>
      </c>
    </row>
    <row r="33" ht="15" customHeight="1" spans="1:11">
      <c r="A33" t="s">
        <v>160</v>
      </c>
      <c r="B33" t="s">
        <v>67</v>
      </c>
      <c r="C33" t="s">
        <v>161</v>
      </c>
      <c r="D33" t="s">
        <v>162</v>
      </c>
      <c r="E33" t="s">
        <v>70</v>
      </c>
      <c r="F33" t="s">
        <v>71</v>
      </c>
      <c r="G33" t="s">
        <v>35</v>
      </c>
      <c r="H33" t="s">
        <v>52</v>
      </c>
      <c r="I33" s="41">
        <v>45212</v>
      </c>
      <c r="J33" t="s">
        <v>58</v>
      </c>
      <c r="K33" t="s">
        <v>38</v>
      </c>
    </row>
    <row r="34" ht="15" customHeight="1" spans="1:11">
      <c r="A34" t="s">
        <v>163</v>
      </c>
      <c r="B34" t="s">
        <v>164</v>
      </c>
      <c r="C34" t="s">
        <v>116</v>
      </c>
      <c r="D34" t="s">
        <v>165</v>
      </c>
      <c r="E34" t="s">
        <v>166</v>
      </c>
      <c r="F34" t="s">
        <v>167</v>
      </c>
      <c r="G34" t="s">
        <v>35</v>
      </c>
      <c r="H34" t="s">
        <v>52</v>
      </c>
      <c r="I34" s="41">
        <v>45175</v>
      </c>
      <c r="J34" t="s">
        <v>58</v>
      </c>
      <c r="K34" t="s">
        <v>38</v>
      </c>
    </row>
    <row r="35" ht="15" customHeight="1" spans="1:11">
      <c r="A35" t="s">
        <v>168</v>
      </c>
      <c r="B35" t="s">
        <v>30</v>
      </c>
      <c r="C35" t="s">
        <v>106</v>
      </c>
      <c r="D35" t="s">
        <v>169</v>
      </c>
      <c r="E35" t="s">
        <v>70</v>
      </c>
      <c r="F35" t="s">
        <v>71</v>
      </c>
      <c r="G35" t="s">
        <v>35</v>
      </c>
      <c r="H35" t="s">
        <v>52</v>
      </c>
      <c r="I35" s="41">
        <v>45289</v>
      </c>
      <c r="J35" t="s">
        <v>58</v>
      </c>
      <c r="K35" t="s">
        <v>38</v>
      </c>
    </row>
    <row r="36" ht="15" customHeight="1" spans="1:11">
      <c r="A36" t="s">
        <v>170</v>
      </c>
      <c r="B36" t="s">
        <v>164</v>
      </c>
      <c r="C36" t="s">
        <v>161</v>
      </c>
      <c r="D36" t="s">
        <v>171</v>
      </c>
      <c r="E36" t="s">
        <v>33</v>
      </c>
      <c r="F36" t="s">
        <v>34</v>
      </c>
      <c r="G36" t="s">
        <v>35</v>
      </c>
      <c r="H36" t="s">
        <v>52</v>
      </c>
      <c r="I36" s="41">
        <v>45588</v>
      </c>
      <c r="J36" t="s">
        <v>53</v>
      </c>
      <c r="K36" t="s">
        <v>38</v>
      </c>
    </row>
    <row r="37" ht="15" customHeight="1" spans="1:11">
      <c r="A37" t="s">
        <v>172</v>
      </c>
      <c r="B37" t="s">
        <v>67</v>
      </c>
      <c r="C37" t="s">
        <v>173</v>
      </c>
      <c r="D37" t="s">
        <v>174</v>
      </c>
      <c r="E37" t="s">
        <v>70</v>
      </c>
      <c r="F37" t="s">
        <v>71</v>
      </c>
      <c r="G37" t="s">
        <v>35</v>
      </c>
      <c r="H37" t="s">
        <v>52</v>
      </c>
      <c r="I37" s="41">
        <v>45121</v>
      </c>
      <c r="J37" t="s">
        <v>45</v>
      </c>
      <c r="K37" t="s">
        <v>38</v>
      </c>
    </row>
    <row r="38" ht="15" customHeight="1" spans="1:11">
      <c r="A38" t="s">
        <v>175</v>
      </c>
      <c r="B38" t="s">
        <v>176</v>
      </c>
      <c r="C38" t="s">
        <v>177</v>
      </c>
      <c r="D38" t="s">
        <v>178</v>
      </c>
      <c r="E38" t="s">
        <v>124</v>
      </c>
      <c r="F38" t="s">
        <v>125</v>
      </c>
      <c r="G38" t="s">
        <v>35</v>
      </c>
      <c r="H38" t="s">
        <v>52</v>
      </c>
      <c r="I38" s="41">
        <v>45004</v>
      </c>
      <c r="J38" t="s">
        <v>58</v>
      </c>
      <c r="K38" t="s">
        <v>38</v>
      </c>
    </row>
    <row r="39" ht="15" customHeight="1" spans="1:11">
      <c r="A39" t="s">
        <v>179</v>
      </c>
      <c r="B39" t="s">
        <v>96</v>
      </c>
      <c r="C39" t="s">
        <v>161</v>
      </c>
      <c r="D39" t="s">
        <v>180</v>
      </c>
      <c r="E39" t="s">
        <v>70</v>
      </c>
      <c r="F39" t="s">
        <v>71</v>
      </c>
      <c r="G39" t="s">
        <v>35</v>
      </c>
      <c r="H39" t="s">
        <v>52</v>
      </c>
      <c r="I39" s="41">
        <v>45480</v>
      </c>
      <c r="J39" t="s">
        <v>53</v>
      </c>
      <c r="K39" t="s">
        <v>76</v>
      </c>
    </row>
    <row r="40" ht="15" customHeight="1" spans="1:11">
      <c r="A40" t="s">
        <v>181</v>
      </c>
      <c r="B40" t="s">
        <v>128</v>
      </c>
      <c r="C40" t="s">
        <v>100</v>
      </c>
      <c r="D40" t="s">
        <v>182</v>
      </c>
      <c r="E40" t="s">
        <v>50</v>
      </c>
      <c r="F40" t="s">
        <v>51</v>
      </c>
      <c r="G40" t="s">
        <v>35</v>
      </c>
      <c r="H40" t="s">
        <v>52</v>
      </c>
      <c r="I40" s="41">
        <v>45424</v>
      </c>
      <c r="J40" t="s">
        <v>58</v>
      </c>
      <c r="K40" t="s">
        <v>38</v>
      </c>
    </row>
    <row r="41" ht="15" customHeight="1" spans="1:11">
      <c r="A41" t="s">
        <v>183</v>
      </c>
      <c r="B41" t="s">
        <v>103</v>
      </c>
      <c r="C41" t="s">
        <v>78</v>
      </c>
      <c r="D41" t="s">
        <v>184</v>
      </c>
      <c r="E41" t="s">
        <v>63</v>
      </c>
      <c r="F41" t="s">
        <v>64</v>
      </c>
      <c r="G41" t="s">
        <v>35</v>
      </c>
      <c r="H41" t="s">
        <v>52</v>
      </c>
      <c r="I41" s="41">
        <v>45326</v>
      </c>
      <c r="J41" t="s">
        <v>65</v>
      </c>
      <c r="K41" t="s">
        <v>76</v>
      </c>
    </row>
    <row r="42" ht="15" customHeight="1" spans="1:11">
      <c r="A42" t="s">
        <v>185</v>
      </c>
      <c r="B42" t="s">
        <v>131</v>
      </c>
      <c r="C42" t="s">
        <v>61</v>
      </c>
      <c r="D42" t="s">
        <v>186</v>
      </c>
      <c r="E42" t="s">
        <v>124</v>
      </c>
      <c r="F42" t="s">
        <v>125</v>
      </c>
      <c r="G42" t="s">
        <v>35</v>
      </c>
      <c r="H42" t="s">
        <v>52</v>
      </c>
      <c r="I42" s="41">
        <v>45496</v>
      </c>
      <c r="J42" t="s">
        <v>58</v>
      </c>
      <c r="K42" t="s">
        <v>38</v>
      </c>
    </row>
    <row r="43" ht="15" customHeight="1" spans="1:11">
      <c r="A43" t="s">
        <v>187</v>
      </c>
      <c r="B43" t="s">
        <v>91</v>
      </c>
      <c r="C43" t="s">
        <v>188</v>
      </c>
      <c r="D43" t="s">
        <v>189</v>
      </c>
      <c r="E43" t="s">
        <v>33</v>
      </c>
      <c r="F43" t="s">
        <v>34</v>
      </c>
      <c r="G43" t="s">
        <v>35</v>
      </c>
      <c r="H43" t="s">
        <v>52</v>
      </c>
      <c r="I43" s="41">
        <v>45482</v>
      </c>
      <c r="J43" t="s">
        <v>53</v>
      </c>
      <c r="K43" t="s">
        <v>38</v>
      </c>
    </row>
    <row r="44" ht="15" customHeight="1" spans="1:11">
      <c r="A44" t="s">
        <v>190</v>
      </c>
      <c r="B44" t="s">
        <v>103</v>
      </c>
      <c r="C44" t="s">
        <v>191</v>
      </c>
      <c r="D44" t="s">
        <v>192</v>
      </c>
      <c r="E44" t="s">
        <v>166</v>
      </c>
      <c r="F44" t="s">
        <v>167</v>
      </c>
      <c r="G44" t="s">
        <v>35</v>
      </c>
      <c r="H44" t="s">
        <v>52</v>
      </c>
      <c r="I44" s="41">
        <v>45470</v>
      </c>
      <c r="J44" t="s">
        <v>37</v>
      </c>
      <c r="K44" t="s">
        <v>38</v>
      </c>
    </row>
    <row r="45" ht="15" customHeight="1" spans="1:11">
      <c r="A45" t="s">
        <v>193</v>
      </c>
      <c r="B45" t="s">
        <v>47</v>
      </c>
      <c r="C45" t="s">
        <v>134</v>
      </c>
      <c r="D45" t="s">
        <v>194</v>
      </c>
      <c r="E45" t="s">
        <v>63</v>
      </c>
      <c r="F45" t="s">
        <v>64</v>
      </c>
      <c r="G45" t="s">
        <v>35</v>
      </c>
      <c r="H45" t="s">
        <v>52</v>
      </c>
      <c r="I45" s="41">
        <v>44996</v>
      </c>
      <c r="J45" t="s">
        <v>37</v>
      </c>
      <c r="K45" t="s">
        <v>38</v>
      </c>
    </row>
    <row r="46" ht="15" customHeight="1" spans="1:11">
      <c r="A46" t="s">
        <v>195</v>
      </c>
      <c r="B46" t="s">
        <v>83</v>
      </c>
      <c r="C46" t="s">
        <v>143</v>
      </c>
      <c r="D46" t="s">
        <v>196</v>
      </c>
      <c r="E46" t="s">
        <v>50</v>
      </c>
      <c r="F46" t="s">
        <v>51</v>
      </c>
      <c r="G46" t="s">
        <v>35</v>
      </c>
      <c r="H46" t="s">
        <v>52</v>
      </c>
      <c r="I46" s="41">
        <v>44967</v>
      </c>
      <c r="J46" t="s">
        <v>45</v>
      </c>
      <c r="K46" t="s">
        <v>38</v>
      </c>
    </row>
    <row r="47" ht="15" customHeight="1" spans="1:11">
      <c r="A47" t="s">
        <v>197</v>
      </c>
      <c r="B47" t="s">
        <v>83</v>
      </c>
      <c r="C47" t="s">
        <v>198</v>
      </c>
      <c r="D47" t="s">
        <v>199</v>
      </c>
      <c r="E47" t="s">
        <v>166</v>
      </c>
      <c r="F47" t="s">
        <v>167</v>
      </c>
      <c r="G47" t="s">
        <v>35</v>
      </c>
      <c r="H47" t="s">
        <v>52</v>
      </c>
      <c r="I47" s="41">
        <v>45194</v>
      </c>
      <c r="J47" t="s">
        <v>37</v>
      </c>
      <c r="K47" t="s">
        <v>38</v>
      </c>
    </row>
    <row r="48" ht="15" customHeight="1" spans="1:11">
      <c r="A48" t="s">
        <v>200</v>
      </c>
      <c r="B48" t="s">
        <v>87</v>
      </c>
      <c r="C48" t="s">
        <v>201</v>
      </c>
      <c r="D48" t="s">
        <v>202</v>
      </c>
      <c r="E48" t="s">
        <v>124</v>
      </c>
      <c r="F48" t="s">
        <v>125</v>
      </c>
      <c r="G48" t="s">
        <v>35</v>
      </c>
      <c r="H48" t="s">
        <v>52</v>
      </c>
      <c r="I48" s="41">
        <v>45614</v>
      </c>
      <c r="J48" t="s">
        <v>65</v>
      </c>
      <c r="K48" t="s">
        <v>38</v>
      </c>
    </row>
    <row r="49" ht="15" customHeight="1" spans="1:11">
      <c r="A49" t="s">
        <v>203</v>
      </c>
      <c r="B49" t="s">
        <v>128</v>
      </c>
      <c r="C49" t="s">
        <v>100</v>
      </c>
      <c r="D49" t="s">
        <v>204</v>
      </c>
      <c r="E49" t="s">
        <v>70</v>
      </c>
      <c r="F49" t="s">
        <v>71</v>
      </c>
      <c r="G49" t="s">
        <v>35</v>
      </c>
      <c r="H49" t="s">
        <v>52</v>
      </c>
      <c r="I49" s="41">
        <v>45563</v>
      </c>
      <c r="J49" t="s">
        <v>45</v>
      </c>
      <c r="K49" t="s">
        <v>76</v>
      </c>
    </row>
    <row r="50" ht="15" customHeight="1" spans="1:11">
      <c r="A50" t="s">
        <v>205</v>
      </c>
      <c r="B50" t="s">
        <v>96</v>
      </c>
      <c r="C50" t="s">
        <v>88</v>
      </c>
      <c r="D50" t="s">
        <v>206</v>
      </c>
      <c r="E50" t="s">
        <v>50</v>
      </c>
      <c r="F50" t="s">
        <v>51</v>
      </c>
      <c r="G50" t="s">
        <v>35</v>
      </c>
      <c r="H50" t="s">
        <v>52</v>
      </c>
      <c r="I50" s="41">
        <v>45062</v>
      </c>
      <c r="J50" t="s">
        <v>65</v>
      </c>
      <c r="K50" t="s">
        <v>76</v>
      </c>
    </row>
    <row r="51" ht="15" customHeight="1" spans="1:11">
      <c r="A51" t="s">
        <v>207</v>
      </c>
      <c r="B51" t="s">
        <v>87</v>
      </c>
      <c r="C51" t="s">
        <v>143</v>
      </c>
      <c r="D51" t="s">
        <v>208</v>
      </c>
      <c r="E51" t="s">
        <v>157</v>
      </c>
      <c r="F51" t="s">
        <v>81</v>
      </c>
      <c r="G51" t="s">
        <v>35</v>
      </c>
      <c r="H51" t="s">
        <v>52</v>
      </c>
      <c r="I51" s="41">
        <v>45375</v>
      </c>
      <c r="J51" t="s">
        <v>45</v>
      </c>
      <c r="K51" t="s">
        <v>38</v>
      </c>
    </row>
    <row r="52" ht="15" customHeight="1" spans="1:11">
      <c r="A52" t="s">
        <v>209</v>
      </c>
      <c r="B52" t="s">
        <v>119</v>
      </c>
      <c r="C52" t="s">
        <v>74</v>
      </c>
      <c r="D52" t="s">
        <v>210</v>
      </c>
      <c r="E52" t="s">
        <v>93</v>
      </c>
      <c r="F52" t="s">
        <v>93</v>
      </c>
      <c r="G52" t="s">
        <v>94</v>
      </c>
      <c r="H52" t="s">
        <v>52</v>
      </c>
      <c r="I52" s="41">
        <v>45610</v>
      </c>
      <c r="J52" t="s">
        <v>45</v>
      </c>
      <c r="K52" t="s">
        <v>38</v>
      </c>
    </row>
    <row r="53" ht="15" customHeight="1" spans="1:11">
      <c r="A53" t="s">
        <v>211</v>
      </c>
      <c r="B53" t="s">
        <v>30</v>
      </c>
      <c r="C53" t="s">
        <v>198</v>
      </c>
      <c r="D53" t="s">
        <v>212</v>
      </c>
      <c r="E53" t="s">
        <v>63</v>
      </c>
      <c r="F53" t="s">
        <v>64</v>
      </c>
      <c r="G53" t="s">
        <v>35</v>
      </c>
      <c r="H53" t="s">
        <v>52</v>
      </c>
      <c r="I53" s="41">
        <v>45036</v>
      </c>
      <c r="J53" t="s">
        <v>45</v>
      </c>
      <c r="K53" t="s">
        <v>38</v>
      </c>
    </row>
    <row r="54" ht="15" customHeight="1" spans="1:11">
      <c r="A54" t="s">
        <v>213</v>
      </c>
      <c r="B54" t="s">
        <v>148</v>
      </c>
      <c r="C54" t="s">
        <v>188</v>
      </c>
      <c r="D54" t="s">
        <v>214</v>
      </c>
      <c r="E54" t="s">
        <v>50</v>
      </c>
      <c r="F54" t="s">
        <v>51</v>
      </c>
      <c r="G54" t="s">
        <v>35</v>
      </c>
      <c r="H54" t="s">
        <v>36</v>
      </c>
      <c r="I54" s="41">
        <v>45135</v>
      </c>
      <c r="J54" t="s">
        <v>65</v>
      </c>
      <c r="K54" t="s">
        <v>38</v>
      </c>
    </row>
    <row r="55" ht="15" customHeight="1" spans="1:11">
      <c r="A55" t="s">
        <v>215</v>
      </c>
      <c r="B55" t="s">
        <v>103</v>
      </c>
      <c r="C55" t="s">
        <v>216</v>
      </c>
      <c r="D55" t="s">
        <v>217</v>
      </c>
      <c r="E55" t="s">
        <v>70</v>
      </c>
      <c r="F55" t="s">
        <v>71</v>
      </c>
      <c r="G55" t="s">
        <v>35</v>
      </c>
      <c r="H55" t="s">
        <v>52</v>
      </c>
      <c r="I55" s="41">
        <v>45210</v>
      </c>
      <c r="J55" t="s">
        <v>53</v>
      </c>
      <c r="K55" t="s">
        <v>38</v>
      </c>
    </row>
    <row r="56" ht="15" customHeight="1" spans="1:11">
      <c r="A56" t="s">
        <v>218</v>
      </c>
      <c r="B56" t="s">
        <v>219</v>
      </c>
      <c r="C56" t="s">
        <v>68</v>
      </c>
      <c r="D56" t="s">
        <v>220</v>
      </c>
      <c r="E56" t="s">
        <v>93</v>
      </c>
      <c r="F56" t="s">
        <v>93</v>
      </c>
      <c r="G56" t="s">
        <v>94</v>
      </c>
      <c r="H56" t="s">
        <v>126</v>
      </c>
      <c r="I56" s="41">
        <v>45092</v>
      </c>
      <c r="J56" t="s">
        <v>58</v>
      </c>
      <c r="K56" t="s">
        <v>38</v>
      </c>
    </row>
    <row r="57" ht="15" customHeight="1" spans="1:11">
      <c r="A57" t="s">
        <v>221</v>
      </c>
      <c r="B57" t="s">
        <v>96</v>
      </c>
      <c r="C57" t="s">
        <v>177</v>
      </c>
      <c r="D57" t="s">
        <v>222</v>
      </c>
      <c r="E57" t="s">
        <v>33</v>
      </c>
      <c r="F57" t="s">
        <v>34</v>
      </c>
      <c r="G57" t="s">
        <v>35</v>
      </c>
      <c r="H57" t="s">
        <v>52</v>
      </c>
      <c r="I57" s="41">
        <v>45634</v>
      </c>
      <c r="J57" t="s">
        <v>37</v>
      </c>
      <c r="K57" t="s">
        <v>38</v>
      </c>
    </row>
    <row r="58" ht="15" customHeight="1" spans="1:11">
      <c r="A58" t="s">
        <v>223</v>
      </c>
      <c r="B58" t="s">
        <v>137</v>
      </c>
      <c r="C58" t="s">
        <v>224</v>
      </c>
      <c r="D58" t="s">
        <v>225</v>
      </c>
      <c r="E58" t="s">
        <v>166</v>
      </c>
      <c r="F58" t="s">
        <v>167</v>
      </c>
      <c r="G58" t="s">
        <v>35</v>
      </c>
      <c r="H58" t="s">
        <v>52</v>
      </c>
      <c r="I58" s="41">
        <v>45367</v>
      </c>
      <c r="J58" t="s">
        <v>37</v>
      </c>
      <c r="K58" t="s">
        <v>38</v>
      </c>
    </row>
    <row r="59" ht="15" customHeight="1" spans="1:11">
      <c r="A59" t="s">
        <v>226</v>
      </c>
      <c r="B59" t="s">
        <v>119</v>
      </c>
      <c r="C59" t="s">
        <v>84</v>
      </c>
      <c r="D59" t="s">
        <v>227</v>
      </c>
      <c r="E59" t="s">
        <v>33</v>
      </c>
      <c r="F59" t="s">
        <v>34</v>
      </c>
      <c r="G59" t="s">
        <v>35</v>
      </c>
      <c r="H59" t="s">
        <v>36</v>
      </c>
      <c r="I59" s="41">
        <v>45142</v>
      </c>
      <c r="J59" t="s">
        <v>37</v>
      </c>
      <c r="K59" t="s">
        <v>38</v>
      </c>
    </row>
    <row r="60" ht="15" customHeight="1" spans="1:11">
      <c r="A60" t="s">
        <v>228</v>
      </c>
      <c r="B60" t="s">
        <v>128</v>
      </c>
      <c r="C60" t="s">
        <v>84</v>
      </c>
      <c r="D60" t="s">
        <v>229</v>
      </c>
      <c r="E60" t="s">
        <v>80</v>
      </c>
      <c r="F60" t="s">
        <v>81</v>
      </c>
      <c r="G60" t="s">
        <v>35</v>
      </c>
      <c r="H60" t="s">
        <v>36</v>
      </c>
      <c r="I60" s="41">
        <v>45343</v>
      </c>
      <c r="J60" t="s">
        <v>45</v>
      </c>
      <c r="K60" t="s">
        <v>38</v>
      </c>
    </row>
    <row r="61" ht="15" customHeight="1" spans="1:11">
      <c r="A61" t="s">
        <v>230</v>
      </c>
      <c r="B61" t="s">
        <v>87</v>
      </c>
      <c r="C61" t="s">
        <v>100</v>
      </c>
      <c r="D61" t="s">
        <v>231</v>
      </c>
      <c r="E61" t="s">
        <v>63</v>
      </c>
      <c r="F61" t="s">
        <v>64</v>
      </c>
      <c r="G61" t="s">
        <v>35</v>
      </c>
      <c r="H61" t="s">
        <v>126</v>
      </c>
      <c r="I61" s="41">
        <v>45108</v>
      </c>
      <c r="J61" t="s">
        <v>58</v>
      </c>
      <c r="K61" t="s">
        <v>38</v>
      </c>
    </row>
    <row r="62" ht="15" customHeight="1" spans="1:11">
      <c r="A62" t="s">
        <v>232</v>
      </c>
      <c r="B62" t="s">
        <v>67</v>
      </c>
      <c r="C62" t="s">
        <v>173</v>
      </c>
      <c r="D62" t="s">
        <v>233</v>
      </c>
      <c r="E62" t="s">
        <v>150</v>
      </c>
      <c r="F62" t="s">
        <v>151</v>
      </c>
      <c r="G62" t="s">
        <v>35</v>
      </c>
      <c r="H62" t="s">
        <v>36</v>
      </c>
      <c r="I62" s="41">
        <v>45181</v>
      </c>
      <c r="J62" t="s">
        <v>65</v>
      </c>
      <c r="K62" t="s">
        <v>38</v>
      </c>
    </row>
    <row r="63" ht="15" customHeight="1" spans="1:11">
      <c r="A63" t="s">
        <v>234</v>
      </c>
      <c r="B63" t="s">
        <v>30</v>
      </c>
      <c r="C63" t="s">
        <v>56</v>
      </c>
      <c r="D63" t="s">
        <v>235</v>
      </c>
      <c r="E63" t="s">
        <v>150</v>
      </c>
      <c r="F63" t="s">
        <v>151</v>
      </c>
      <c r="G63" t="s">
        <v>35</v>
      </c>
      <c r="H63" t="s">
        <v>36</v>
      </c>
      <c r="I63" s="41">
        <v>45408</v>
      </c>
      <c r="J63" t="s">
        <v>37</v>
      </c>
      <c r="K63" t="s">
        <v>38</v>
      </c>
    </row>
    <row r="64" ht="15" customHeight="1" spans="1:11">
      <c r="A64" t="s">
        <v>236</v>
      </c>
      <c r="B64" t="s">
        <v>131</v>
      </c>
      <c r="C64" t="s">
        <v>100</v>
      </c>
      <c r="D64" t="s">
        <v>237</v>
      </c>
      <c r="E64" t="s">
        <v>157</v>
      </c>
      <c r="F64" t="s">
        <v>81</v>
      </c>
      <c r="G64" t="s">
        <v>35</v>
      </c>
      <c r="H64" t="s">
        <v>52</v>
      </c>
      <c r="I64" s="41">
        <v>45160</v>
      </c>
      <c r="J64" t="s">
        <v>37</v>
      </c>
      <c r="K64" t="s">
        <v>38</v>
      </c>
    </row>
    <row r="65" ht="15" customHeight="1" spans="1:11">
      <c r="A65" t="s">
        <v>238</v>
      </c>
      <c r="B65" t="s">
        <v>239</v>
      </c>
      <c r="C65" t="s">
        <v>106</v>
      </c>
      <c r="D65" t="s">
        <v>240</v>
      </c>
      <c r="E65" t="s">
        <v>157</v>
      </c>
      <c r="F65" t="s">
        <v>81</v>
      </c>
      <c r="G65" t="s">
        <v>35</v>
      </c>
      <c r="H65" t="s">
        <v>52</v>
      </c>
      <c r="I65" s="41">
        <v>44998</v>
      </c>
      <c r="J65" t="s">
        <v>65</v>
      </c>
      <c r="K65" t="s">
        <v>38</v>
      </c>
    </row>
    <row r="66" ht="15" customHeight="1" spans="1:11">
      <c r="A66" t="s">
        <v>241</v>
      </c>
      <c r="B66" t="s">
        <v>239</v>
      </c>
      <c r="C66" t="s">
        <v>134</v>
      </c>
      <c r="D66" t="s">
        <v>242</v>
      </c>
      <c r="E66" t="s">
        <v>93</v>
      </c>
      <c r="F66" t="s">
        <v>93</v>
      </c>
      <c r="G66" t="s">
        <v>94</v>
      </c>
      <c r="H66" t="s">
        <v>126</v>
      </c>
      <c r="I66" s="41">
        <v>45476</v>
      </c>
      <c r="J66" t="s">
        <v>65</v>
      </c>
      <c r="K66" t="s">
        <v>76</v>
      </c>
    </row>
    <row r="67" ht="15" customHeight="1" spans="1:11">
      <c r="A67" t="s">
        <v>243</v>
      </c>
      <c r="B67" t="s">
        <v>73</v>
      </c>
      <c r="C67" t="s">
        <v>41</v>
      </c>
      <c r="D67" t="s">
        <v>244</v>
      </c>
      <c r="E67" t="s">
        <v>63</v>
      </c>
      <c r="F67" t="s">
        <v>64</v>
      </c>
      <c r="G67" t="s">
        <v>35</v>
      </c>
      <c r="H67" t="s">
        <v>52</v>
      </c>
      <c r="I67" s="41">
        <v>45198</v>
      </c>
      <c r="J67" t="s">
        <v>53</v>
      </c>
      <c r="K67" t="s">
        <v>38</v>
      </c>
    </row>
    <row r="68" ht="15" customHeight="1" spans="1:11">
      <c r="A68" t="s">
        <v>245</v>
      </c>
      <c r="B68" t="s">
        <v>137</v>
      </c>
      <c r="C68" t="s">
        <v>177</v>
      </c>
      <c r="D68" t="s">
        <v>246</v>
      </c>
      <c r="E68" t="s">
        <v>43</v>
      </c>
      <c r="F68" t="s">
        <v>43</v>
      </c>
      <c r="G68" t="s">
        <v>44</v>
      </c>
      <c r="H68" t="s">
        <v>36</v>
      </c>
      <c r="I68" s="41">
        <v>45373</v>
      </c>
      <c r="J68" t="s">
        <v>45</v>
      </c>
      <c r="K68" t="s">
        <v>76</v>
      </c>
    </row>
    <row r="69" ht="15" customHeight="1" spans="1:11">
      <c r="A69" t="s">
        <v>247</v>
      </c>
      <c r="B69" t="s">
        <v>239</v>
      </c>
      <c r="C69" t="s">
        <v>41</v>
      </c>
      <c r="D69" t="s">
        <v>248</v>
      </c>
      <c r="E69" t="s">
        <v>166</v>
      </c>
      <c r="F69" t="s">
        <v>167</v>
      </c>
      <c r="G69" t="s">
        <v>35</v>
      </c>
      <c r="H69" t="s">
        <v>52</v>
      </c>
      <c r="I69" s="41">
        <v>44972</v>
      </c>
      <c r="J69" t="s">
        <v>58</v>
      </c>
      <c r="K69" t="s">
        <v>38</v>
      </c>
    </row>
    <row r="70" ht="15" customHeight="1" spans="1:11">
      <c r="A70" t="s">
        <v>249</v>
      </c>
      <c r="B70" t="s">
        <v>119</v>
      </c>
      <c r="C70" t="s">
        <v>100</v>
      </c>
      <c r="D70" t="s">
        <v>250</v>
      </c>
      <c r="E70" t="s">
        <v>80</v>
      </c>
      <c r="F70" t="s">
        <v>81</v>
      </c>
      <c r="G70" t="s">
        <v>35</v>
      </c>
      <c r="H70" t="s">
        <v>52</v>
      </c>
      <c r="I70" s="41">
        <v>45613</v>
      </c>
      <c r="J70" t="s">
        <v>37</v>
      </c>
      <c r="K70" t="s">
        <v>38</v>
      </c>
    </row>
    <row r="71" ht="15" customHeight="1" spans="1:11">
      <c r="A71" t="s">
        <v>251</v>
      </c>
      <c r="B71" t="s">
        <v>40</v>
      </c>
      <c r="C71" t="s">
        <v>88</v>
      </c>
      <c r="D71" t="s">
        <v>252</v>
      </c>
      <c r="E71" t="s">
        <v>157</v>
      </c>
      <c r="F71" t="s">
        <v>81</v>
      </c>
      <c r="G71" t="s">
        <v>35</v>
      </c>
      <c r="H71" t="s">
        <v>52</v>
      </c>
      <c r="I71" s="41">
        <v>45606</v>
      </c>
      <c r="J71" t="s">
        <v>53</v>
      </c>
      <c r="K71" t="s">
        <v>38</v>
      </c>
    </row>
    <row r="72" ht="15" customHeight="1" spans="1:11">
      <c r="A72" t="s">
        <v>253</v>
      </c>
      <c r="B72" t="s">
        <v>115</v>
      </c>
      <c r="C72" t="s">
        <v>188</v>
      </c>
      <c r="D72" t="s">
        <v>254</v>
      </c>
      <c r="E72" t="s">
        <v>124</v>
      </c>
      <c r="F72" t="s">
        <v>125</v>
      </c>
      <c r="G72" t="s">
        <v>35</v>
      </c>
      <c r="H72" t="s">
        <v>52</v>
      </c>
      <c r="I72" s="41">
        <v>45261</v>
      </c>
      <c r="J72" t="s">
        <v>58</v>
      </c>
      <c r="K72" t="s">
        <v>38</v>
      </c>
    </row>
    <row r="73" ht="15" customHeight="1" spans="1:11">
      <c r="A73" t="s">
        <v>255</v>
      </c>
      <c r="B73" t="s">
        <v>219</v>
      </c>
      <c r="C73" t="s">
        <v>112</v>
      </c>
      <c r="D73" t="s">
        <v>256</v>
      </c>
      <c r="E73" t="s">
        <v>50</v>
      </c>
      <c r="F73" t="s">
        <v>51</v>
      </c>
      <c r="G73" t="s">
        <v>35</v>
      </c>
      <c r="H73" t="s">
        <v>52</v>
      </c>
      <c r="I73" s="41">
        <v>45315</v>
      </c>
      <c r="J73" t="s">
        <v>37</v>
      </c>
      <c r="K73" t="s">
        <v>38</v>
      </c>
    </row>
    <row r="74" ht="15" customHeight="1" spans="1:11">
      <c r="A74" t="s">
        <v>257</v>
      </c>
      <c r="B74" t="s">
        <v>239</v>
      </c>
      <c r="C74" t="s">
        <v>188</v>
      </c>
      <c r="D74" t="s">
        <v>258</v>
      </c>
      <c r="E74" t="s">
        <v>80</v>
      </c>
      <c r="F74" t="s">
        <v>81</v>
      </c>
      <c r="G74" t="s">
        <v>35</v>
      </c>
      <c r="H74" t="s">
        <v>36</v>
      </c>
      <c r="I74" s="41">
        <v>45238</v>
      </c>
      <c r="J74" t="s">
        <v>65</v>
      </c>
      <c r="K74" t="s">
        <v>38</v>
      </c>
    </row>
    <row r="75" ht="15" customHeight="1" spans="1:11">
      <c r="A75" t="s">
        <v>259</v>
      </c>
      <c r="B75" t="s">
        <v>83</v>
      </c>
      <c r="C75" t="s">
        <v>61</v>
      </c>
      <c r="D75" t="s">
        <v>260</v>
      </c>
      <c r="E75" t="s">
        <v>166</v>
      </c>
      <c r="F75" t="s">
        <v>167</v>
      </c>
      <c r="G75" t="s">
        <v>35</v>
      </c>
      <c r="H75" t="s">
        <v>52</v>
      </c>
      <c r="I75" s="41">
        <v>45403</v>
      </c>
      <c r="J75" t="s">
        <v>58</v>
      </c>
      <c r="K75" t="s">
        <v>38</v>
      </c>
    </row>
    <row r="76" ht="15" customHeight="1" spans="1:11">
      <c r="A76" t="s">
        <v>261</v>
      </c>
      <c r="B76" t="s">
        <v>115</v>
      </c>
      <c r="C76" t="s">
        <v>106</v>
      </c>
      <c r="D76" t="s">
        <v>262</v>
      </c>
      <c r="E76" t="s">
        <v>110</v>
      </c>
      <c r="F76" t="s">
        <v>34</v>
      </c>
      <c r="G76" t="s">
        <v>35</v>
      </c>
      <c r="H76" t="s">
        <v>36</v>
      </c>
      <c r="I76" s="41">
        <v>45100</v>
      </c>
      <c r="J76" t="s">
        <v>53</v>
      </c>
      <c r="K76" t="s">
        <v>38</v>
      </c>
    </row>
    <row r="77" ht="15" customHeight="1" spans="1:11">
      <c r="A77" t="s">
        <v>263</v>
      </c>
      <c r="B77" t="s">
        <v>55</v>
      </c>
      <c r="C77" t="s">
        <v>198</v>
      </c>
      <c r="D77" t="s">
        <v>264</v>
      </c>
      <c r="E77" t="s">
        <v>166</v>
      </c>
      <c r="F77" t="s">
        <v>167</v>
      </c>
      <c r="G77" t="s">
        <v>35</v>
      </c>
      <c r="H77" t="s">
        <v>52</v>
      </c>
      <c r="I77" s="41">
        <v>45167</v>
      </c>
      <c r="J77" t="s">
        <v>65</v>
      </c>
      <c r="K77" t="s">
        <v>38</v>
      </c>
    </row>
    <row r="78" ht="15" customHeight="1" spans="1:11">
      <c r="A78" t="s">
        <v>265</v>
      </c>
      <c r="B78" t="s">
        <v>219</v>
      </c>
      <c r="C78" t="s">
        <v>106</v>
      </c>
      <c r="D78" t="s">
        <v>266</v>
      </c>
      <c r="E78" t="s">
        <v>33</v>
      </c>
      <c r="F78" t="s">
        <v>34</v>
      </c>
      <c r="G78" t="s">
        <v>35</v>
      </c>
      <c r="H78" t="s">
        <v>52</v>
      </c>
      <c r="I78" s="41">
        <v>45413</v>
      </c>
      <c r="J78" t="s">
        <v>45</v>
      </c>
      <c r="K78" t="s">
        <v>38</v>
      </c>
    </row>
    <row r="79" ht="15" customHeight="1" spans="1:11">
      <c r="A79" t="s">
        <v>267</v>
      </c>
      <c r="B79" t="s">
        <v>131</v>
      </c>
      <c r="C79" t="s">
        <v>88</v>
      </c>
      <c r="D79" t="s">
        <v>268</v>
      </c>
      <c r="E79" t="s">
        <v>150</v>
      </c>
      <c r="F79" t="s">
        <v>151</v>
      </c>
      <c r="G79" t="s">
        <v>35</v>
      </c>
      <c r="H79" t="s">
        <v>36</v>
      </c>
      <c r="I79" s="41">
        <v>45516</v>
      </c>
      <c r="J79" t="s">
        <v>37</v>
      </c>
      <c r="K79" t="s">
        <v>38</v>
      </c>
    </row>
    <row r="80" ht="15" customHeight="1" spans="1:11">
      <c r="A80" t="s">
        <v>269</v>
      </c>
      <c r="B80" t="s">
        <v>270</v>
      </c>
      <c r="C80" t="s">
        <v>78</v>
      </c>
      <c r="D80" t="s">
        <v>271</v>
      </c>
      <c r="E80" t="s">
        <v>150</v>
      </c>
      <c r="F80" t="s">
        <v>151</v>
      </c>
      <c r="G80" t="s">
        <v>35</v>
      </c>
      <c r="H80" t="s">
        <v>52</v>
      </c>
      <c r="I80" s="41">
        <v>45598</v>
      </c>
      <c r="J80" t="s">
        <v>53</v>
      </c>
      <c r="K80" t="s">
        <v>76</v>
      </c>
    </row>
    <row r="81" ht="15" customHeight="1" spans="1:11">
      <c r="A81" t="s">
        <v>272</v>
      </c>
      <c r="B81" t="s">
        <v>128</v>
      </c>
      <c r="C81" t="s">
        <v>161</v>
      </c>
      <c r="D81" t="s">
        <v>273</v>
      </c>
      <c r="E81" t="s">
        <v>70</v>
      </c>
      <c r="F81" t="s">
        <v>71</v>
      </c>
      <c r="G81" t="s">
        <v>35</v>
      </c>
      <c r="H81" t="s">
        <v>36</v>
      </c>
      <c r="I81" s="41">
        <v>45151</v>
      </c>
      <c r="J81" t="s">
        <v>37</v>
      </c>
      <c r="K81" t="s">
        <v>38</v>
      </c>
    </row>
    <row r="82" ht="15" customHeight="1" spans="1:11">
      <c r="A82" t="s">
        <v>274</v>
      </c>
      <c r="B82" t="s">
        <v>115</v>
      </c>
      <c r="C82" t="s">
        <v>56</v>
      </c>
      <c r="D82" t="s">
        <v>275</v>
      </c>
      <c r="E82" t="s">
        <v>110</v>
      </c>
      <c r="F82" t="s">
        <v>34</v>
      </c>
      <c r="G82" t="s">
        <v>35</v>
      </c>
      <c r="H82" t="s">
        <v>52</v>
      </c>
      <c r="I82" s="41">
        <v>45182</v>
      </c>
      <c r="J82" t="s">
        <v>53</v>
      </c>
      <c r="K82" t="s">
        <v>38</v>
      </c>
    </row>
    <row r="83" ht="15" customHeight="1" spans="1:11">
      <c r="A83" t="s">
        <v>276</v>
      </c>
      <c r="B83" t="s">
        <v>131</v>
      </c>
      <c r="C83" t="s">
        <v>61</v>
      </c>
      <c r="D83" t="s">
        <v>277</v>
      </c>
      <c r="E83" t="s">
        <v>93</v>
      </c>
      <c r="F83" t="s">
        <v>93</v>
      </c>
      <c r="G83" t="s">
        <v>94</v>
      </c>
      <c r="H83" t="s">
        <v>52</v>
      </c>
      <c r="I83" s="41">
        <v>45499</v>
      </c>
      <c r="J83" t="s">
        <v>45</v>
      </c>
      <c r="K83" t="s">
        <v>38</v>
      </c>
    </row>
    <row r="84" ht="15" customHeight="1" spans="1:11">
      <c r="A84" t="s">
        <v>278</v>
      </c>
      <c r="B84" t="s">
        <v>131</v>
      </c>
      <c r="C84" t="s">
        <v>68</v>
      </c>
      <c r="D84" t="s">
        <v>279</v>
      </c>
      <c r="E84" t="s">
        <v>166</v>
      </c>
      <c r="F84" t="s">
        <v>167</v>
      </c>
      <c r="G84" t="s">
        <v>35</v>
      </c>
      <c r="H84" t="s">
        <v>36</v>
      </c>
      <c r="I84" s="41">
        <v>45443</v>
      </c>
      <c r="J84" t="s">
        <v>58</v>
      </c>
      <c r="K84" t="s">
        <v>38</v>
      </c>
    </row>
    <row r="85" ht="15" customHeight="1" spans="1:11">
      <c r="A85" t="s">
        <v>280</v>
      </c>
      <c r="B85" t="s">
        <v>131</v>
      </c>
      <c r="C85" t="s">
        <v>112</v>
      </c>
      <c r="D85" t="s">
        <v>281</v>
      </c>
      <c r="E85" t="s">
        <v>63</v>
      </c>
      <c r="F85" t="s">
        <v>64</v>
      </c>
      <c r="G85" t="s">
        <v>35</v>
      </c>
      <c r="H85" t="s">
        <v>36</v>
      </c>
      <c r="I85" s="41">
        <v>45413</v>
      </c>
      <c r="J85" t="s">
        <v>58</v>
      </c>
      <c r="K85" t="s">
        <v>38</v>
      </c>
    </row>
    <row r="86" ht="15" customHeight="1" spans="1:11">
      <c r="A86" t="s">
        <v>282</v>
      </c>
      <c r="B86" t="s">
        <v>55</v>
      </c>
      <c r="C86" t="s">
        <v>155</v>
      </c>
      <c r="D86" t="s">
        <v>283</v>
      </c>
      <c r="E86" t="s">
        <v>124</v>
      </c>
      <c r="F86" t="s">
        <v>125</v>
      </c>
      <c r="G86" t="s">
        <v>35</v>
      </c>
      <c r="H86" t="s">
        <v>36</v>
      </c>
      <c r="I86" s="41">
        <v>45460</v>
      </c>
      <c r="J86" t="s">
        <v>58</v>
      </c>
      <c r="K86" t="s">
        <v>38</v>
      </c>
    </row>
    <row r="87" ht="15" customHeight="1" spans="1:11">
      <c r="A87" t="s">
        <v>284</v>
      </c>
      <c r="B87" t="s">
        <v>131</v>
      </c>
      <c r="C87" t="s">
        <v>216</v>
      </c>
      <c r="D87" t="s">
        <v>285</v>
      </c>
      <c r="E87" t="s">
        <v>70</v>
      </c>
      <c r="F87" t="s">
        <v>71</v>
      </c>
      <c r="G87" t="s">
        <v>35</v>
      </c>
      <c r="H87" t="s">
        <v>36</v>
      </c>
      <c r="I87" s="41">
        <v>45167</v>
      </c>
      <c r="J87" t="s">
        <v>65</v>
      </c>
      <c r="K87" t="s">
        <v>38</v>
      </c>
    </row>
    <row r="88" ht="15" customHeight="1" spans="1:11">
      <c r="A88" t="s">
        <v>286</v>
      </c>
      <c r="B88" t="s">
        <v>96</v>
      </c>
      <c r="C88" t="s">
        <v>143</v>
      </c>
      <c r="D88" t="s">
        <v>287</v>
      </c>
      <c r="E88" t="s">
        <v>70</v>
      </c>
      <c r="F88" t="s">
        <v>71</v>
      </c>
      <c r="G88" t="s">
        <v>35</v>
      </c>
      <c r="H88" t="s">
        <v>52</v>
      </c>
      <c r="I88" s="41">
        <v>45163</v>
      </c>
      <c r="J88" t="s">
        <v>58</v>
      </c>
      <c r="K88" t="s">
        <v>38</v>
      </c>
    </row>
    <row r="89" ht="15" customHeight="1" spans="1:11">
      <c r="A89" t="s">
        <v>288</v>
      </c>
      <c r="B89" t="s">
        <v>91</v>
      </c>
      <c r="C89" t="s">
        <v>56</v>
      </c>
      <c r="D89" t="s">
        <v>289</v>
      </c>
      <c r="E89" t="s">
        <v>70</v>
      </c>
      <c r="F89" t="s">
        <v>71</v>
      </c>
      <c r="G89" t="s">
        <v>35</v>
      </c>
      <c r="H89" t="s">
        <v>52</v>
      </c>
      <c r="I89" s="41">
        <v>45265</v>
      </c>
      <c r="J89" t="s">
        <v>45</v>
      </c>
      <c r="K89" t="s">
        <v>38</v>
      </c>
    </row>
    <row r="90" ht="15" customHeight="1" spans="1:11">
      <c r="A90" t="s">
        <v>290</v>
      </c>
      <c r="B90" t="s">
        <v>91</v>
      </c>
      <c r="C90" t="s">
        <v>191</v>
      </c>
      <c r="D90" t="s">
        <v>291</v>
      </c>
      <c r="E90" t="s">
        <v>150</v>
      </c>
      <c r="F90" t="s">
        <v>151</v>
      </c>
      <c r="G90" t="s">
        <v>35</v>
      </c>
      <c r="H90" t="s">
        <v>52</v>
      </c>
      <c r="I90" s="41">
        <v>45525</v>
      </c>
      <c r="J90" t="s">
        <v>53</v>
      </c>
      <c r="K90" t="s">
        <v>38</v>
      </c>
    </row>
    <row r="91" ht="15" customHeight="1" spans="1:11">
      <c r="A91" t="s">
        <v>292</v>
      </c>
      <c r="B91" t="s">
        <v>83</v>
      </c>
      <c r="C91" t="s">
        <v>68</v>
      </c>
      <c r="D91" t="s">
        <v>293</v>
      </c>
      <c r="E91" t="s">
        <v>150</v>
      </c>
      <c r="F91" t="s">
        <v>151</v>
      </c>
      <c r="G91" t="s">
        <v>35</v>
      </c>
      <c r="H91" t="s">
        <v>52</v>
      </c>
      <c r="I91" s="41">
        <v>45287</v>
      </c>
      <c r="J91" t="s">
        <v>65</v>
      </c>
      <c r="K91" t="s">
        <v>38</v>
      </c>
    </row>
    <row r="92" ht="15" customHeight="1" spans="1:11">
      <c r="A92" t="s">
        <v>294</v>
      </c>
      <c r="B92" t="s">
        <v>295</v>
      </c>
      <c r="C92" t="s">
        <v>161</v>
      </c>
      <c r="D92" t="s">
        <v>296</v>
      </c>
      <c r="E92" t="s">
        <v>80</v>
      </c>
      <c r="F92" t="s">
        <v>81</v>
      </c>
      <c r="G92" t="s">
        <v>35</v>
      </c>
      <c r="H92" t="s">
        <v>36</v>
      </c>
      <c r="I92" s="41">
        <v>45486</v>
      </c>
      <c r="J92" t="s">
        <v>45</v>
      </c>
      <c r="K92" t="s">
        <v>76</v>
      </c>
    </row>
    <row r="93" ht="15" customHeight="1" spans="1:11">
      <c r="A93" t="s">
        <v>297</v>
      </c>
      <c r="B93" t="s">
        <v>87</v>
      </c>
      <c r="C93" t="s">
        <v>140</v>
      </c>
      <c r="D93" t="s">
        <v>298</v>
      </c>
      <c r="E93" t="s">
        <v>124</v>
      </c>
      <c r="F93" t="s">
        <v>125</v>
      </c>
      <c r="G93" t="s">
        <v>35</v>
      </c>
      <c r="H93" t="s">
        <v>52</v>
      </c>
      <c r="I93" s="41">
        <v>44956</v>
      </c>
      <c r="J93" t="s">
        <v>58</v>
      </c>
      <c r="K93" t="s">
        <v>38</v>
      </c>
    </row>
    <row r="94" ht="15" customHeight="1" spans="1:11">
      <c r="A94" t="s">
        <v>299</v>
      </c>
      <c r="B94" t="s">
        <v>119</v>
      </c>
      <c r="C94" t="s">
        <v>198</v>
      </c>
      <c r="D94" t="s">
        <v>300</v>
      </c>
      <c r="E94" t="s">
        <v>150</v>
      </c>
      <c r="F94" t="s">
        <v>151</v>
      </c>
      <c r="G94" t="s">
        <v>35</v>
      </c>
      <c r="H94" t="s">
        <v>36</v>
      </c>
      <c r="I94" s="41">
        <v>45405</v>
      </c>
      <c r="J94" t="s">
        <v>37</v>
      </c>
      <c r="K94" t="s">
        <v>76</v>
      </c>
    </row>
    <row r="95" ht="15" customHeight="1" spans="1:11">
      <c r="A95" t="s">
        <v>301</v>
      </c>
      <c r="B95" t="s">
        <v>60</v>
      </c>
      <c r="C95" t="s">
        <v>112</v>
      </c>
      <c r="D95" t="s">
        <v>302</v>
      </c>
      <c r="E95" t="s">
        <v>150</v>
      </c>
      <c r="F95" t="s">
        <v>151</v>
      </c>
      <c r="G95" t="s">
        <v>35</v>
      </c>
      <c r="H95" t="s">
        <v>52</v>
      </c>
      <c r="I95" s="41">
        <v>45605</v>
      </c>
      <c r="J95" t="s">
        <v>53</v>
      </c>
      <c r="K95" t="s">
        <v>38</v>
      </c>
    </row>
    <row r="96" ht="15" customHeight="1" spans="1:11">
      <c r="A96" t="s">
        <v>303</v>
      </c>
      <c r="B96" t="s">
        <v>219</v>
      </c>
      <c r="C96" t="s">
        <v>177</v>
      </c>
      <c r="D96" t="s">
        <v>304</v>
      </c>
      <c r="E96" t="s">
        <v>110</v>
      </c>
      <c r="F96" t="s">
        <v>34</v>
      </c>
      <c r="G96" t="s">
        <v>35</v>
      </c>
      <c r="H96" t="s">
        <v>52</v>
      </c>
      <c r="I96" s="41">
        <v>45193</v>
      </c>
      <c r="J96" t="s">
        <v>58</v>
      </c>
      <c r="K96" t="s">
        <v>38</v>
      </c>
    </row>
    <row r="97" ht="15" customHeight="1" spans="1:11">
      <c r="A97" t="s">
        <v>305</v>
      </c>
      <c r="B97" t="s">
        <v>67</v>
      </c>
      <c r="C97" t="s">
        <v>122</v>
      </c>
      <c r="D97" t="s">
        <v>306</v>
      </c>
      <c r="E97" t="s">
        <v>157</v>
      </c>
      <c r="F97" t="s">
        <v>81</v>
      </c>
      <c r="G97" t="s">
        <v>35</v>
      </c>
      <c r="H97" t="s">
        <v>36</v>
      </c>
      <c r="I97" s="41">
        <v>45315</v>
      </c>
      <c r="J97" t="s">
        <v>65</v>
      </c>
      <c r="K97" t="s">
        <v>38</v>
      </c>
    </row>
    <row r="98" ht="15" customHeight="1" spans="1:11">
      <c r="A98" t="s">
        <v>307</v>
      </c>
      <c r="B98" t="s">
        <v>295</v>
      </c>
      <c r="C98" t="s">
        <v>224</v>
      </c>
      <c r="D98" t="s">
        <v>308</v>
      </c>
      <c r="E98" t="s">
        <v>124</v>
      </c>
      <c r="F98" t="s">
        <v>125</v>
      </c>
      <c r="G98" t="s">
        <v>35</v>
      </c>
      <c r="H98" t="s">
        <v>36</v>
      </c>
      <c r="I98" s="41">
        <v>45408</v>
      </c>
      <c r="J98" t="s">
        <v>53</v>
      </c>
      <c r="K98" t="s">
        <v>38</v>
      </c>
    </row>
    <row r="99" ht="15" customHeight="1" spans="1:11">
      <c r="A99" t="s">
        <v>309</v>
      </c>
      <c r="B99" t="s">
        <v>137</v>
      </c>
      <c r="C99" t="s">
        <v>191</v>
      </c>
      <c r="D99" t="s">
        <v>310</v>
      </c>
      <c r="E99" t="s">
        <v>50</v>
      </c>
      <c r="F99" t="s">
        <v>51</v>
      </c>
      <c r="G99" t="s">
        <v>35</v>
      </c>
      <c r="H99" t="s">
        <v>52</v>
      </c>
      <c r="I99" s="41">
        <v>45594</v>
      </c>
      <c r="J99" t="s">
        <v>53</v>
      </c>
      <c r="K99" t="s">
        <v>38</v>
      </c>
    </row>
    <row r="100" ht="15" customHeight="1" spans="1:11">
      <c r="A100" t="s">
        <v>311</v>
      </c>
      <c r="B100" t="s">
        <v>91</v>
      </c>
      <c r="C100" t="s">
        <v>155</v>
      </c>
      <c r="D100" t="s">
        <v>312</v>
      </c>
      <c r="E100" t="s">
        <v>33</v>
      </c>
      <c r="F100" t="s">
        <v>34</v>
      </c>
      <c r="G100" t="s">
        <v>35</v>
      </c>
      <c r="H100" t="s">
        <v>52</v>
      </c>
      <c r="I100" s="41">
        <v>45171</v>
      </c>
      <c r="J100" t="s">
        <v>37</v>
      </c>
      <c r="K100" t="s">
        <v>38</v>
      </c>
    </row>
    <row r="101" ht="15" customHeight="1" spans="1:11">
      <c r="A101" t="s">
        <v>313</v>
      </c>
      <c r="B101" t="s">
        <v>83</v>
      </c>
      <c r="C101" t="s">
        <v>41</v>
      </c>
      <c r="D101" t="s">
        <v>314</v>
      </c>
      <c r="E101" t="s">
        <v>50</v>
      </c>
      <c r="F101" t="s">
        <v>51</v>
      </c>
      <c r="G101" t="s">
        <v>35</v>
      </c>
      <c r="H101" t="s">
        <v>52</v>
      </c>
      <c r="I101" s="41">
        <v>45189</v>
      </c>
      <c r="J101" t="s">
        <v>65</v>
      </c>
      <c r="K101" t="s">
        <v>38</v>
      </c>
    </row>
    <row r="102" ht="15" customHeight="1" spans="1:11">
      <c r="A102" t="s">
        <v>315</v>
      </c>
      <c r="B102" t="s">
        <v>164</v>
      </c>
      <c r="C102" t="s">
        <v>74</v>
      </c>
      <c r="D102" t="s">
        <v>316</v>
      </c>
      <c r="E102" t="s">
        <v>43</v>
      </c>
      <c r="F102" t="s">
        <v>43</v>
      </c>
      <c r="G102" t="s">
        <v>44</v>
      </c>
      <c r="H102" t="s">
        <v>52</v>
      </c>
      <c r="I102" s="41">
        <v>45094</v>
      </c>
      <c r="J102" t="s">
        <v>65</v>
      </c>
      <c r="K102" t="s">
        <v>38</v>
      </c>
    </row>
    <row r="103" ht="15" customHeight="1" spans="1:11">
      <c r="A103" t="s">
        <v>317</v>
      </c>
      <c r="B103" t="s">
        <v>318</v>
      </c>
      <c r="C103" t="s">
        <v>48</v>
      </c>
      <c r="D103" t="s">
        <v>319</v>
      </c>
      <c r="E103" t="s">
        <v>166</v>
      </c>
      <c r="F103" t="s">
        <v>167</v>
      </c>
      <c r="G103" t="s">
        <v>35</v>
      </c>
      <c r="H103" t="s">
        <v>52</v>
      </c>
      <c r="I103" s="41">
        <v>45311</v>
      </c>
      <c r="J103" t="s">
        <v>58</v>
      </c>
      <c r="K103" t="s">
        <v>76</v>
      </c>
    </row>
    <row r="104" ht="15" customHeight="1" spans="1:11">
      <c r="A104" t="s">
        <v>320</v>
      </c>
      <c r="B104" t="s">
        <v>47</v>
      </c>
      <c r="C104" t="s">
        <v>106</v>
      </c>
      <c r="D104" t="s">
        <v>321</v>
      </c>
      <c r="E104" t="s">
        <v>166</v>
      </c>
      <c r="F104" t="s">
        <v>167</v>
      </c>
      <c r="G104" t="s">
        <v>35</v>
      </c>
      <c r="H104" t="s">
        <v>52</v>
      </c>
      <c r="I104" s="41">
        <v>45569</v>
      </c>
      <c r="J104" t="s">
        <v>37</v>
      </c>
      <c r="K104" t="s">
        <v>38</v>
      </c>
    </row>
    <row r="105" ht="15" customHeight="1" spans="1:11">
      <c r="A105" t="s">
        <v>322</v>
      </c>
      <c r="B105" t="s">
        <v>318</v>
      </c>
      <c r="C105" t="s">
        <v>68</v>
      </c>
      <c r="D105" t="s">
        <v>323</v>
      </c>
      <c r="E105" t="s">
        <v>93</v>
      </c>
      <c r="F105" t="s">
        <v>93</v>
      </c>
      <c r="G105" t="s">
        <v>94</v>
      </c>
      <c r="H105" t="s">
        <v>52</v>
      </c>
      <c r="I105" s="41">
        <v>45050</v>
      </c>
      <c r="J105" t="s">
        <v>45</v>
      </c>
      <c r="K105" t="s">
        <v>38</v>
      </c>
    </row>
    <row r="106" ht="15" customHeight="1" spans="1:11">
      <c r="A106" t="s">
        <v>324</v>
      </c>
      <c r="B106" t="s">
        <v>96</v>
      </c>
      <c r="C106" t="s">
        <v>84</v>
      </c>
      <c r="D106" t="s">
        <v>325</v>
      </c>
      <c r="E106" t="s">
        <v>150</v>
      </c>
      <c r="F106" t="s">
        <v>151</v>
      </c>
      <c r="G106" t="s">
        <v>35</v>
      </c>
      <c r="H106" t="s">
        <v>52</v>
      </c>
      <c r="I106" s="41">
        <v>44997</v>
      </c>
      <c r="J106" t="s">
        <v>45</v>
      </c>
      <c r="K106" t="s">
        <v>38</v>
      </c>
    </row>
    <row r="107" ht="15" customHeight="1" spans="1:11">
      <c r="A107" t="s">
        <v>326</v>
      </c>
      <c r="B107" t="s">
        <v>295</v>
      </c>
      <c r="C107" t="s">
        <v>48</v>
      </c>
      <c r="D107" t="s">
        <v>327</v>
      </c>
      <c r="E107" t="s">
        <v>110</v>
      </c>
      <c r="F107" t="s">
        <v>34</v>
      </c>
      <c r="G107" t="s">
        <v>35</v>
      </c>
      <c r="H107" t="s">
        <v>52</v>
      </c>
      <c r="I107" s="41">
        <v>45297</v>
      </c>
      <c r="J107" t="s">
        <v>58</v>
      </c>
      <c r="K107" t="s">
        <v>38</v>
      </c>
    </row>
    <row r="108" ht="15" customHeight="1" spans="1:11">
      <c r="A108" t="s">
        <v>328</v>
      </c>
      <c r="B108" t="s">
        <v>176</v>
      </c>
      <c r="C108" t="s">
        <v>177</v>
      </c>
      <c r="D108" t="s">
        <v>329</v>
      </c>
      <c r="E108" t="s">
        <v>43</v>
      </c>
      <c r="F108" t="s">
        <v>43</v>
      </c>
      <c r="G108" t="s">
        <v>44</v>
      </c>
      <c r="H108" t="s">
        <v>52</v>
      </c>
      <c r="I108" s="41">
        <v>45593</v>
      </c>
      <c r="J108" t="s">
        <v>65</v>
      </c>
      <c r="K108" t="s">
        <v>38</v>
      </c>
    </row>
    <row r="109" ht="15" customHeight="1" spans="1:11">
      <c r="A109" t="s">
        <v>330</v>
      </c>
      <c r="B109" t="s">
        <v>96</v>
      </c>
      <c r="C109" t="s">
        <v>100</v>
      </c>
      <c r="D109" t="s">
        <v>331</v>
      </c>
      <c r="E109" t="s">
        <v>110</v>
      </c>
      <c r="F109" t="s">
        <v>34</v>
      </c>
      <c r="G109" t="s">
        <v>35</v>
      </c>
      <c r="H109" t="s">
        <v>52</v>
      </c>
      <c r="I109" s="41">
        <v>45533</v>
      </c>
      <c r="J109" t="s">
        <v>65</v>
      </c>
      <c r="K109" t="s">
        <v>38</v>
      </c>
    </row>
    <row r="110" ht="15" customHeight="1" spans="1:11">
      <c r="A110" t="s">
        <v>332</v>
      </c>
      <c r="B110" t="s">
        <v>47</v>
      </c>
      <c r="C110" t="s">
        <v>155</v>
      </c>
      <c r="D110" t="s">
        <v>333</v>
      </c>
      <c r="E110" t="s">
        <v>124</v>
      </c>
      <c r="F110" t="s">
        <v>125</v>
      </c>
      <c r="G110" t="s">
        <v>35</v>
      </c>
      <c r="H110" t="s">
        <v>36</v>
      </c>
      <c r="I110" s="41">
        <v>45176</v>
      </c>
      <c r="J110" t="s">
        <v>58</v>
      </c>
      <c r="K110" t="s">
        <v>38</v>
      </c>
    </row>
    <row r="111" ht="15" customHeight="1" spans="1:11">
      <c r="A111" t="s">
        <v>334</v>
      </c>
      <c r="B111" t="s">
        <v>239</v>
      </c>
      <c r="C111" t="s">
        <v>198</v>
      </c>
      <c r="D111" t="s">
        <v>335</v>
      </c>
      <c r="E111" t="s">
        <v>157</v>
      </c>
      <c r="F111" t="s">
        <v>81</v>
      </c>
      <c r="G111" t="s">
        <v>35</v>
      </c>
      <c r="H111" t="s">
        <v>52</v>
      </c>
      <c r="I111" s="41">
        <v>45259</v>
      </c>
      <c r="J111" t="s">
        <v>37</v>
      </c>
      <c r="K111" t="s">
        <v>38</v>
      </c>
    </row>
    <row r="112" ht="15" customHeight="1" spans="1:11">
      <c r="A112" t="s">
        <v>336</v>
      </c>
      <c r="B112" t="s">
        <v>119</v>
      </c>
      <c r="C112" t="s">
        <v>84</v>
      </c>
      <c r="D112" t="s">
        <v>337</v>
      </c>
      <c r="E112" t="s">
        <v>124</v>
      </c>
      <c r="F112" t="s">
        <v>125</v>
      </c>
      <c r="G112" t="s">
        <v>35</v>
      </c>
      <c r="H112" t="s">
        <v>52</v>
      </c>
      <c r="I112" s="41">
        <v>45537</v>
      </c>
      <c r="J112" t="s">
        <v>65</v>
      </c>
      <c r="K112" t="s">
        <v>38</v>
      </c>
    </row>
    <row r="113" ht="15" customHeight="1" spans="1:11">
      <c r="A113" t="s">
        <v>338</v>
      </c>
      <c r="B113" t="s">
        <v>91</v>
      </c>
      <c r="C113" t="s">
        <v>134</v>
      </c>
      <c r="D113" t="s">
        <v>339</v>
      </c>
      <c r="E113" t="s">
        <v>70</v>
      </c>
      <c r="F113" t="s">
        <v>71</v>
      </c>
      <c r="G113" t="s">
        <v>35</v>
      </c>
      <c r="H113" t="s">
        <v>52</v>
      </c>
      <c r="I113" s="41">
        <v>45343</v>
      </c>
      <c r="J113" t="s">
        <v>58</v>
      </c>
      <c r="K113" t="s">
        <v>38</v>
      </c>
    </row>
    <row r="114" ht="15" customHeight="1" spans="1:11">
      <c r="A114" t="s">
        <v>340</v>
      </c>
      <c r="B114" t="s">
        <v>341</v>
      </c>
      <c r="C114" t="s">
        <v>155</v>
      </c>
      <c r="D114" t="s">
        <v>342</v>
      </c>
      <c r="E114" t="s">
        <v>110</v>
      </c>
      <c r="F114" t="s">
        <v>34</v>
      </c>
      <c r="G114" t="s">
        <v>35</v>
      </c>
      <c r="H114" t="s">
        <v>52</v>
      </c>
      <c r="I114" s="41">
        <v>45429</v>
      </c>
      <c r="J114" t="s">
        <v>58</v>
      </c>
      <c r="K114" t="s">
        <v>38</v>
      </c>
    </row>
    <row r="115" ht="15" customHeight="1" spans="1:11">
      <c r="A115" t="s">
        <v>343</v>
      </c>
      <c r="B115" t="s">
        <v>318</v>
      </c>
      <c r="C115" t="s">
        <v>88</v>
      </c>
      <c r="D115" t="s">
        <v>344</v>
      </c>
      <c r="E115" t="s">
        <v>50</v>
      </c>
      <c r="F115" t="s">
        <v>51</v>
      </c>
      <c r="G115" t="s">
        <v>35</v>
      </c>
      <c r="H115" t="s">
        <v>52</v>
      </c>
      <c r="I115" s="41">
        <v>45176</v>
      </c>
      <c r="J115" t="s">
        <v>65</v>
      </c>
      <c r="K115" t="s">
        <v>38</v>
      </c>
    </row>
    <row r="116" ht="15" customHeight="1" spans="1:11">
      <c r="A116" t="s">
        <v>345</v>
      </c>
      <c r="B116" t="s">
        <v>270</v>
      </c>
      <c r="C116" t="s">
        <v>84</v>
      </c>
      <c r="D116" t="s">
        <v>346</v>
      </c>
      <c r="E116" t="s">
        <v>80</v>
      </c>
      <c r="F116" t="s">
        <v>81</v>
      </c>
      <c r="G116" t="s">
        <v>35</v>
      </c>
      <c r="H116" t="s">
        <v>52</v>
      </c>
      <c r="I116" s="41">
        <v>45362</v>
      </c>
      <c r="J116" t="s">
        <v>45</v>
      </c>
      <c r="K116" t="s">
        <v>38</v>
      </c>
    </row>
    <row r="117" ht="15" customHeight="1" spans="1:11">
      <c r="A117" t="s">
        <v>347</v>
      </c>
      <c r="B117" t="s">
        <v>131</v>
      </c>
      <c r="C117" t="s">
        <v>56</v>
      </c>
      <c r="D117" t="s">
        <v>348</v>
      </c>
      <c r="E117" t="s">
        <v>124</v>
      </c>
      <c r="F117" t="s">
        <v>125</v>
      </c>
      <c r="G117" t="s">
        <v>35</v>
      </c>
      <c r="H117" t="s">
        <v>52</v>
      </c>
      <c r="I117" s="41">
        <v>45163</v>
      </c>
      <c r="J117" t="s">
        <v>53</v>
      </c>
      <c r="K117" t="s">
        <v>38</v>
      </c>
    </row>
    <row r="118" ht="15" customHeight="1" spans="1:11">
      <c r="A118" t="s">
        <v>349</v>
      </c>
      <c r="B118" t="s">
        <v>30</v>
      </c>
      <c r="C118" t="s">
        <v>201</v>
      </c>
      <c r="D118" t="s">
        <v>350</v>
      </c>
      <c r="E118" t="s">
        <v>43</v>
      </c>
      <c r="F118" t="s">
        <v>43</v>
      </c>
      <c r="G118" t="s">
        <v>44</v>
      </c>
      <c r="H118" t="s">
        <v>52</v>
      </c>
      <c r="I118" s="41">
        <v>45633</v>
      </c>
      <c r="J118" t="s">
        <v>37</v>
      </c>
      <c r="K118" t="s">
        <v>38</v>
      </c>
    </row>
    <row r="119" ht="15" customHeight="1" spans="1:11">
      <c r="A119" t="s">
        <v>351</v>
      </c>
      <c r="B119" t="s">
        <v>270</v>
      </c>
      <c r="C119" t="s">
        <v>173</v>
      </c>
      <c r="D119" t="s">
        <v>352</v>
      </c>
      <c r="E119" t="s">
        <v>124</v>
      </c>
      <c r="F119" t="s">
        <v>125</v>
      </c>
      <c r="G119" t="s">
        <v>35</v>
      </c>
      <c r="H119" t="s">
        <v>36</v>
      </c>
      <c r="I119" s="41">
        <v>45464</v>
      </c>
      <c r="J119" t="s">
        <v>45</v>
      </c>
      <c r="K119" t="s">
        <v>38</v>
      </c>
    </row>
    <row r="120" ht="15" customHeight="1" spans="1:11">
      <c r="A120" t="s">
        <v>353</v>
      </c>
      <c r="B120" t="s">
        <v>91</v>
      </c>
      <c r="C120" t="s">
        <v>41</v>
      </c>
      <c r="D120" t="s">
        <v>354</v>
      </c>
      <c r="E120" t="s">
        <v>124</v>
      </c>
      <c r="F120" t="s">
        <v>125</v>
      </c>
      <c r="G120" t="s">
        <v>35</v>
      </c>
      <c r="H120" t="s">
        <v>52</v>
      </c>
      <c r="I120" s="41">
        <v>45110</v>
      </c>
      <c r="J120" t="s">
        <v>65</v>
      </c>
      <c r="K120" t="s">
        <v>38</v>
      </c>
    </row>
    <row r="121" ht="15" customHeight="1" spans="1:11">
      <c r="A121" t="s">
        <v>355</v>
      </c>
      <c r="B121" t="s">
        <v>219</v>
      </c>
      <c r="C121" t="s">
        <v>112</v>
      </c>
      <c r="D121" t="s">
        <v>356</v>
      </c>
      <c r="E121" t="s">
        <v>124</v>
      </c>
      <c r="F121" t="s">
        <v>125</v>
      </c>
      <c r="G121" t="s">
        <v>35</v>
      </c>
      <c r="H121" t="s">
        <v>52</v>
      </c>
      <c r="I121" s="41">
        <v>44982</v>
      </c>
      <c r="J121" t="s">
        <v>45</v>
      </c>
      <c r="K121" t="s">
        <v>38</v>
      </c>
    </row>
  </sheetData>
  <dataValidations count="2">
    <dataValidation type="list" sqref="H2:H121">
      <formula1>"Particulier,PME,Grand Compte"</formula1>
    </dataValidation>
    <dataValidation type="list" sqref="K2:K121">
      <formula1>"Oui,Non"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opLeftCell="A29" workbookViewId="0">
      <selection activeCell="A1" sqref="A1"/>
    </sheetView>
  </sheetViews>
  <sheetFormatPr defaultColWidth="9" defaultRowHeight="14"/>
  <cols>
    <col min="1" max="1" width="14" customWidth="1"/>
    <col min="2" max="9" width="16" customWidth="1"/>
  </cols>
  <sheetData>
    <row r="1" ht="15" customHeight="1" spans="1:9">
      <c r="A1" s="25" t="s">
        <v>357</v>
      </c>
      <c r="B1" s="25" t="s">
        <v>358</v>
      </c>
      <c r="C1" s="25" t="s">
        <v>359</v>
      </c>
      <c r="D1" s="25" t="s">
        <v>360</v>
      </c>
      <c r="E1" s="25" t="s">
        <v>361</v>
      </c>
      <c r="F1" s="25" t="s">
        <v>362</v>
      </c>
      <c r="G1" s="25" t="s">
        <v>363</v>
      </c>
      <c r="H1" s="25" t="s">
        <v>364</v>
      </c>
      <c r="I1" s="25" t="s">
        <v>365</v>
      </c>
    </row>
    <row r="2" ht="15" customHeight="1" spans="1:9">
      <c r="A2" t="s">
        <v>366</v>
      </c>
      <c r="B2" t="s">
        <v>367</v>
      </c>
      <c r="C2" t="s">
        <v>368</v>
      </c>
      <c r="D2" t="s">
        <v>369</v>
      </c>
      <c r="E2" s="27">
        <v>1103.64</v>
      </c>
      <c r="F2" s="27">
        <v>698.7</v>
      </c>
      <c r="G2" s="27">
        <v>404.94</v>
      </c>
      <c r="H2">
        <v>26</v>
      </c>
      <c r="I2" t="s">
        <v>28</v>
      </c>
    </row>
    <row r="3" ht="15" customHeight="1" spans="1:9">
      <c r="A3" t="s">
        <v>370</v>
      </c>
      <c r="B3" t="s">
        <v>371</v>
      </c>
      <c r="C3" t="s">
        <v>368</v>
      </c>
      <c r="D3" t="s">
        <v>369</v>
      </c>
      <c r="E3" s="27">
        <v>970.58</v>
      </c>
      <c r="F3" s="27">
        <v>575.22</v>
      </c>
      <c r="G3" s="27">
        <v>395.36</v>
      </c>
      <c r="H3">
        <v>87</v>
      </c>
      <c r="I3" t="s">
        <v>28</v>
      </c>
    </row>
    <row r="4" ht="15" customHeight="1" spans="1:9">
      <c r="A4" t="s">
        <v>372</v>
      </c>
      <c r="B4" t="s">
        <v>373</v>
      </c>
      <c r="C4" t="s">
        <v>368</v>
      </c>
      <c r="D4" t="s">
        <v>369</v>
      </c>
      <c r="E4" s="27">
        <v>216.77</v>
      </c>
      <c r="F4" s="27">
        <v>153.01</v>
      </c>
      <c r="G4" s="27">
        <v>63.76</v>
      </c>
      <c r="H4">
        <v>29</v>
      </c>
      <c r="I4" t="s">
        <v>28</v>
      </c>
    </row>
    <row r="5" ht="15" customHeight="1" spans="1:9">
      <c r="A5" t="s">
        <v>374</v>
      </c>
      <c r="B5" t="s">
        <v>375</v>
      </c>
      <c r="C5" t="s">
        <v>368</v>
      </c>
      <c r="D5" t="s">
        <v>376</v>
      </c>
      <c r="E5" s="27">
        <v>251.56</v>
      </c>
      <c r="F5" s="27">
        <v>125.22</v>
      </c>
      <c r="G5" s="27">
        <v>126.34</v>
      </c>
      <c r="H5">
        <v>38</v>
      </c>
      <c r="I5" t="s">
        <v>28</v>
      </c>
    </row>
    <row r="6" ht="15" customHeight="1" spans="1:9">
      <c r="A6" t="s">
        <v>377</v>
      </c>
      <c r="B6" t="s">
        <v>378</v>
      </c>
      <c r="C6" t="s">
        <v>368</v>
      </c>
      <c r="D6" t="s">
        <v>379</v>
      </c>
      <c r="E6" s="27">
        <v>84.94</v>
      </c>
      <c r="F6" s="27">
        <v>46.97</v>
      </c>
      <c r="G6" s="27">
        <v>37.97</v>
      </c>
      <c r="H6">
        <v>30</v>
      </c>
      <c r="I6" t="s">
        <v>28</v>
      </c>
    </row>
    <row r="7" ht="15" customHeight="1" spans="1:9">
      <c r="A7" t="s">
        <v>380</v>
      </c>
      <c r="B7" t="s">
        <v>381</v>
      </c>
      <c r="C7" t="s">
        <v>368</v>
      </c>
      <c r="D7" t="s">
        <v>382</v>
      </c>
      <c r="E7" s="27">
        <v>80.3</v>
      </c>
      <c r="F7" s="27">
        <v>50.03</v>
      </c>
      <c r="G7" s="27">
        <v>30.27</v>
      </c>
      <c r="H7">
        <v>57</v>
      </c>
      <c r="I7" t="s">
        <v>28</v>
      </c>
    </row>
    <row r="8" ht="15" customHeight="1" spans="1:9">
      <c r="A8" t="s">
        <v>383</v>
      </c>
      <c r="B8" t="s">
        <v>384</v>
      </c>
      <c r="C8" t="s">
        <v>368</v>
      </c>
      <c r="D8" t="s">
        <v>385</v>
      </c>
      <c r="E8" s="27">
        <v>39.08</v>
      </c>
      <c r="F8" s="27">
        <v>27.28</v>
      </c>
      <c r="G8" s="27">
        <v>11.8</v>
      </c>
      <c r="H8">
        <v>150</v>
      </c>
      <c r="I8" t="s">
        <v>386</v>
      </c>
    </row>
    <row r="9" ht="15" customHeight="1" spans="1:9">
      <c r="A9" t="s">
        <v>387</v>
      </c>
      <c r="B9" t="s">
        <v>388</v>
      </c>
      <c r="C9" t="s">
        <v>368</v>
      </c>
      <c r="D9" t="s">
        <v>382</v>
      </c>
      <c r="E9" s="27">
        <v>37.91</v>
      </c>
      <c r="F9" s="27">
        <v>23.85</v>
      </c>
      <c r="G9" s="27">
        <v>14.06</v>
      </c>
      <c r="H9">
        <v>25</v>
      </c>
      <c r="I9" t="s">
        <v>28</v>
      </c>
    </row>
    <row r="10" ht="15" customHeight="1" spans="1:9">
      <c r="A10" t="s">
        <v>389</v>
      </c>
      <c r="B10" t="s">
        <v>390</v>
      </c>
      <c r="C10" t="s">
        <v>368</v>
      </c>
      <c r="D10" t="s">
        <v>376</v>
      </c>
      <c r="E10" s="27">
        <v>120.37</v>
      </c>
      <c r="F10" s="27">
        <v>63.87</v>
      </c>
      <c r="G10" s="27">
        <v>56.5</v>
      </c>
      <c r="H10">
        <v>40</v>
      </c>
      <c r="I10" t="s">
        <v>28</v>
      </c>
    </row>
    <row r="11" ht="15" customHeight="1" spans="1:9">
      <c r="A11" t="s">
        <v>391</v>
      </c>
      <c r="B11" t="s">
        <v>392</v>
      </c>
      <c r="C11" t="s">
        <v>368</v>
      </c>
      <c r="D11" t="s">
        <v>369</v>
      </c>
      <c r="E11" s="27">
        <v>138.13</v>
      </c>
      <c r="F11" s="27">
        <v>71.49</v>
      </c>
      <c r="G11" s="27">
        <v>66.64</v>
      </c>
      <c r="H11">
        <v>115</v>
      </c>
      <c r="I11" t="s">
        <v>28</v>
      </c>
    </row>
    <row r="12" ht="15" customHeight="1" spans="1:9">
      <c r="A12" t="s">
        <v>393</v>
      </c>
      <c r="B12" t="s">
        <v>394</v>
      </c>
      <c r="C12" t="s">
        <v>395</v>
      </c>
      <c r="D12" t="s">
        <v>385</v>
      </c>
      <c r="E12" s="27">
        <v>196.18</v>
      </c>
      <c r="F12" s="27">
        <v>95.7</v>
      </c>
      <c r="G12" s="27">
        <v>100.48</v>
      </c>
      <c r="H12">
        <v>180</v>
      </c>
      <c r="I12" t="s">
        <v>28</v>
      </c>
    </row>
    <row r="13" ht="15" customHeight="1" spans="1:9">
      <c r="A13" t="s">
        <v>396</v>
      </c>
      <c r="B13" t="s">
        <v>397</v>
      </c>
      <c r="C13" t="s">
        <v>395</v>
      </c>
      <c r="D13" t="s">
        <v>379</v>
      </c>
      <c r="E13" s="27">
        <v>225.64</v>
      </c>
      <c r="F13" s="27">
        <v>112.16</v>
      </c>
      <c r="G13" s="27">
        <v>113.48</v>
      </c>
      <c r="H13">
        <v>67</v>
      </c>
      <c r="I13" t="s">
        <v>28</v>
      </c>
    </row>
    <row r="14" ht="15" customHeight="1" spans="1:9">
      <c r="A14" t="s">
        <v>398</v>
      </c>
      <c r="B14" t="s">
        <v>399</v>
      </c>
      <c r="C14" t="s">
        <v>395</v>
      </c>
      <c r="D14" t="s">
        <v>379</v>
      </c>
      <c r="E14" s="27">
        <v>383.91</v>
      </c>
      <c r="F14" s="27">
        <v>245.2</v>
      </c>
      <c r="G14" s="27">
        <v>138.71</v>
      </c>
      <c r="H14">
        <v>108</v>
      </c>
      <c r="I14" t="s">
        <v>28</v>
      </c>
    </row>
    <row r="15" ht="15" customHeight="1" spans="1:9">
      <c r="A15" t="s">
        <v>400</v>
      </c>
      <c r="B15" t="s">
        <v>401</v>
      </c>
      <c r="C15" t="s">
        <v>395</v>
      </c>
      <c r="D15" t="s">
        <v>385</v>
      </c>
      <c r="E15" s="27">
        <v>328.03</v>
      </c>
      <c r="F15" s="27">
        <v>169.18</v>
      </c>
      <c r="G15" s="27">
        <v>158.85</v>
      </c>
      <c r="H15">
        <v>36</v>
      </c>
      <c r="I15" t="s">
        <v>28</v>
      </c>
    </row>
    <row r="16" ht="15" customHeight="1" spans="1:9">
      <c r="A16" t="s">
        <v>402</v>
      </c>
      <c r="B16" t="s">
        <v>403</v>
      </c>
      <c r="C16" t="s">
        <v>395</v>
      </c>
      <c r="D16" t="s">
        <v>382</v>
      </c>
      <c r="E16" s="27">
        <v>26.57</v>
      </c>
      <c r="F16" s="27">
        <v>14.72</v>
      </c>
      <c r="G16" s="27">
        <v>11.85</v>
      </c>
      <c r="H16">
        <v>73</v>
      </c>
      <c r="I16" t="s">
        <v>28</v>
      </c>
    </row>
    <row r="17" ht="15" customHeight="1" spans="1:9">
      <c r="A17" t="s">
        <v>404</v>
      </c>
      <c r="B17" t="s">
        <v>405</v>
      </c>
      <c r="C17" t="s">
        <v>395</v>
      </c>
      <c r="D17" t="s">
        <v>369</v>
      </c>
      <c r="E17" s="27">
        <v>30.09</v>
      </c>
      <c r="F17" s="27">
        <v>16.64</v>
      </c>
      <c r="G17" s="27">
        <v>13.45</v>
      </c>
      <c r="H17">
        <v>69</v>
      </c>
      <c r="I17" t="s">
        <v>28</v>
      </c>
    </row>
    <row r="18" ht="15" customHeight="1" spans="1:9">
      <c r="A18" t="s">
        <v>406</v>
      </c>
      <c r="B18" t="s">
        <v>407</v>
      </c>
      <c r="C18" t="s">
        <v>395</v>
      </c>
      <c r="D18" t="s">
        <v>376</v>
      </c>
      <c r="E18" s="27">
        <v>18.86</v>
      </c>
      <c r="F18" s="27">
        <v>9.42</v>
      </c>
      <c r="G18" s="27">
        <v>9.44</v>
      </c>
      <c r="H18">
        <v>110</v>
      </c>
      <c r="I18" t="s">
        <v>28</v>
      </c>
    </row>
    <row r="19" ht="15" customHeight="1" spans="1:9">
      <c r="A19" t="s">
        <v>408</v>
      </c>
      <c r="B19" t="s">
        <v>409</v>
      </c>
      <c r="C19" t="s">
        <v>395</v>
      </c>
      <c r="D19" t="s">
        <v>379</v>
      </c>
      <c r="E19" s="27">
        <v>19.65</v>
      </c>
      <c r="F19" s="27">
        <v>9.55</v>
      </c>
      <c r="G19" s="27">
        <v>10.1</v>
      </c>
      <c r="H19">
        <v>172</v>
      </c>
      <c r="I19" t="s">
        <v>28</v>
      </c>
    </row>
    <row r="20" ht="15" customHeight="1" spans="1:9">
      <c r="A20" t="s">
        <v>410</v>
      </c>
      <c r="B20" t="s">
        <v>411</v>
      </c>
      <c r="C20" t="s">
        <v>395</v>
      </c>
      <c r="D20" t="s">
        <v>385</v>
      </c>
      <c r="E20" s="27">
        <v>106.93</v>
      </c>
      <c r="F20" s="27">
        <v>75.73</v>
      </c>
      <c r="G20" s="27">
        <v>31.2</v>
      </c>
      <c r="H20">
        <v>147</v>
      </c>
      <c r="I20" t="s">
        <v>28</v>
      </c>
    </row>
    <row r="21" ht="15" customHeight="1" spans="1:9">
      <c r="A21" t="s">
        <v>412</v>
      </c>
      <c r="B21" t="s">
        <v>413</v>
      </c>
      <c r="C21" t="s">
        <v>395</v>
      </c>
      <c r="D21" t="s">
        <v>369</v>
      </c>
      <c r="E21" s="27">
        <v>114.1</v>
      </c>
      <c r="F21" s="27">
        <v>67.65</v>
      </c>
      <c r="G21" s="27">
        <v>46.45</v>
      </c>
      <c r="H21">
        <v>71</v>
      </c>
      <c r="I21" t="s">
        <v>28</v>
      </c>
    </row>
    <row r="22" ht="15" customHeight="1" spans="1:9">
      <c r="A22" t="s">
        <v>414</v>
      </c>
      <c r="B22" t="s">
        <v>415</v>
      </c>
      <c r="C22" t="s">
        <v>416</v>
      </c>
      <c r="D22" t="s">
        <v>369</v>
      </c>
      <c r="E22" s="27">
        <v>63.96</v>
      </c>
      <c r="F22" s="27">
        <v>40.44</v>
      </c>
      <c r="G22" s="27">
        <v>23.52</v>
      </c>
      <c r="H22">
        <v>23</v>
      </c>
      <c r="I22" t="s">
        <v>28</v>
      </c>
    </row>
    <row r="23" ht="15" customHeight="1" spans="1:9">
      <c r="A23" t="s">
        <v>417</v>
      </c>
      <c r="B23" t="s">
        <v>418</v>
      </c>
      <c r="C23" t="s">
        <v>416</v>
      </c>
      <c r="D23" t="s">
        <v>376</v>
      </c>
      <c r="E23" s="27">
        <v>59.79</v>
      </c>
      <c r="F23" s="27">
        <v>33.31</v>
      </c>
      <c r="G23" s="27">
        <v>26.48</v>
      </c>
      <c r="H23">
        <v>41</v>
      </c>
      <c r="I23" t="s">
        <v>28</v>
      </c>
    </row>
    <row r="24" ht="15" customHeight="1" spans="1:9">
      <c r="A24" t="s">
        <v>419</v>
      </c>
      <c r="B24" t="s">
        <v>420</v>
      </c>
      <c r="C24" t="s">
        <v>416</v>
      </c>
      <c r="D24" t="s">
        <v>369</v>
      </c>
      <c r="E24" s="27">
        <v>100.34</v>
      </c>
      <c r="F24" s="27">
        <v>55.1</v>
      </c>
      <c r="G24" s="27">
        <v>45.24</v>
      </c>
      <c r="H24">
        <v>140</v>
      </c>
      <c r="I24" t="s">
        <v>28</v>
      </c>
    </row>
    <row r="25" ht="15" customHeight="1" spans="1:9">
      <c r="A25" t="s">
        <v>421</v>
      </c>
      <c r="B25" t="s">
        <v>422</v>
      </c>
      <c r="C25" t="s">
        <v>416</v>
      </c>
      <c r="D25" t="s">
        <v>376</v>
      </c>
      <c r="E25" s="27">
        <v>78.78</v>
      </c>
      <c r="F25" s="27">
        <v>42.59</v>
      </c>
      <c r="G25" s="27">
        <v>36.19</v>
      </c>
      <c r="H25">
        <v>103</v>
      </c>
      <c r="I25" t="s">
        <v>28</v>
      </c>
    </row>
    <row r="26" ht="15" customHeight="1" spans="1:9">
      <c r="A26" t="s">
        <v>423</v>
      </c>
      <c r="B26" t="s">
        <v>424</v>
      </c>
      <c r="C26" t="s">
        <v>416</v>
      </c>
      <c r="D26" t="s">
        <v>382</v>
      </c>
      <c r="E26" s="27">
        <v>46.02</v>
      </c>
      <c r="F26" s="27">
        <v>22.1</v>
      </c>
      <c r="G26" s="27">
        <v>23.92</v>
      </c>
      <c r="H26">
        <v>118</v>
      </c>
      <c r="I26" t="s">
        <v>28</v>
      </c>
    </row>
    <row r="27" ht="15" customHeight="1" spans="1:9">
      <c r="A27" t="s">
        <v>425</v>
      </c>
      <c r="B27" t="s">
        <v>426</v>
      </c>
      <c r="C27" t="s">
        <v>416</v>
      </c>
      <c r="D27" t="s">
        <v>369</v>
      </c>
      <c r="E27" s="27">
        <v>36.08</v>
      </c>
      <c r="F27" s="27">
        <v>20.45</v>
      </c>
      <c r="G27" s="27">
        <v>15.63</v>
      </c>
      <c r="H27">
        <v>160</v>
      </c>
      <c r="I27" t="s">
        <v>28</v>
      </c>
    </row>
    <row r="28" ht="15" customHeight="1" spans="1:9">
      <c r="A28" t="s">
        <v>427</v>
      </c>
      <c r="B28" t="s">
        <v>428</v>
      </c>
      <c r="C28" t="s">
        <v>416</v>
      </c>
      <c r="D28" t="s">
        <v>379</v>
      </c>
      <c r="E28" s="27">
        <v>25.25</v>
      </c>
      <c r="F28" s="27">
        <v>13.74</v>
      </c>
      <c r="G28" s="27">
        <v>11.51</v>
      </c>
      <c r="H28">
        <v>73</v>
      </c>
      <c r="I28" t="s">
        <v>28</v>
      </c>
    </row>
    <row r="29" ht="15" customHeight="1" spans="1:9">
      <c r="A29" t="s">
        <v>429</v>
      </c>
      <c r="B29" t="s">
        <v>430</v>
      </c>
      <c r="C29" t="s">
        <v>416</v>
      </c>
      <c r="D29" t="s">
        <v>382</v>
      </c>
      <c r="E29" s="27">
        <v>32.75</v>
      </c>
      <c r="F29" s="27">
        <v>16.67</v>
      </c>
      <c r="G29" s="27">
        <v>16.08</v>
      </c>
      <c r="H29">
        <v>61</v>
      </c>
      <c r="I29" t="s">
        <v>28</v>
      </c>
    </row>
    <row r="30" ht="15" customHeight="1" spans="1:9">
      <c r="A30" t="s">
        <v>431</v>
      </c>
      <c r="B30" t="s">
        <v>432</v>
      </c>
      <c r="C30" t="s">
        <v>416</v>
      </c>
      <c r="D30" t="s">
        <v>369</v>
      </c>
      <c r="E30" s="27">
        <v>47.74</v>
      </c>
      <c r="F30" s="27">
        <v>23.07</v>
      </c>
      <c r="G30" s="27">
        <v>24.67</v>
      </c>
      <c r="H30">
        <v>23</v>
      </c>
      <c r="I30" t="s">
        <v>28</v>
      </c>
    </row>
    <row r="31" ht="15" customHeight="1" spans="1:9">
      <c r="A31" t="s">
        <v>433</v>
      </c>
      <c r="B31" t="s">
        <v>434</v>
      </c>
      <c r="C31" t="s">
        <v>416</v>
      </c>
      <c r="D31" t="s">
        <v>376</v>
      </c>
      <c r="E31" s="27">
        <v>58.14</v>
      </c>
      <c r="F31" s="27">
        <v>29.49</v>
      </c>
      <c r="G31" s="27">
        <v>28.65</v>
      </c>
      <c r="H31">
        <v>165</v>
      </c>
      <c r="I31" t="s">
        <v>28</v>
      </c>
    </row>
    <row r="32" ht="15" customHeight="1" spans="1:9">
      <c r="A32" t="s">
        <v>435</v>
      </c>
      <c r="B32" t="s">
        <v>436</v>
      </c>
      <c r="C32" t="s">
        <v>437</v>
      </c>
      <c r="D32" t="s">
        <v>382</v>
      </c>
      <c r="E32" s="27">
        <v>262.34</v>
      </c>
      <c r="F32" s="27">
        <v>171.04</v>
      </c>
      <c r="G32" s="27">
        <v>91.3</v>
      </c>
      <c r="H32">
        <v>180</v>
      </c>
      <c r="I32" t="s">
        <v>28</v>
      </c>
    </row>
    <row r="33" ht="15" customHeight="1" spans="1:9">
      <c r="A33" t="s">
        <v>438</v>
      </c>
      <c r="B33" t="s">
        <v>439</v>
      </c>
      <c r="C33" t="s">
        <v>437</v>
      </c>
      <c r="D33" t="s">
        <v>379</v>
      </c>
      <c r="E33" s="27">
        <v>295.97</v>
      </c>
      <c r="F33" s="27">
        <v>211.7</v>
      </c>
      <c r="G33" s="27">
        <v>84.27</v>
      </c>
      <c r="H33">
        <v>116</v>
      </c>
      <c r="I33" t="s">
        <v>28</v>
      </c>
    </row>
    <row r="34" ht="15" customHeight="1" spans="1:9">
      <c r="A34" t="s">
        <v>440</v>
      </c>
      <c r="B34" t="s">
        <v>441</v>
      </c>
      <c r="C34" t="s">
        <v>437</v>
      </c>
      <c r="D34" t="s">
        <v>382</v>
      </c>
      <c r="E34" s="27">
        <v>391.34</v>
      </c>
      <c r="F34" s="27">
        <v>274.43</v>
      </c>
      <c r="G34" s="27">
        <v>116.91</v>
      </c>
      <c r="H34">
        <v>34</v>
      </c>
      <c r="I34" t="s">
        <v>28</v>
      </c>
    </row>
    <row r="35" ht="15" customHeight="1" spans="1:9">
      <c r="A35" t="s">
        <v>442</v>
      </c>
      <c r="B35" t="s">
        <v>443</v>
      </c>
      <c r="C35" t="s">
        <v>437</v>
      </c>
      <c r="D35" t="s">
        <v>369</v>
      </c>
      <c r="E35" s="27">
        <v>374.59</v>
      </c>
      <c r="F35" s="27">
        <v>250.83</v>
      </c>
      <c r="G35" s="27">
        <v>123.76</v>
      </c>
      <c r="H35">
        <v>87</v>
      </c>
      <c r="I35" t="s">
        <v>28</v>
      </c>
    </row>
    <row r="36" ht="15" customHeight="1" spans="1:9">
      <c r="A36" t="s">
        <v>444</v>
      </c>
      <c r="B36" t="s">
        <v>445</v>
      </c>
      <c r="C36" t="s">
        <v>437</v>
      </c>
      <c r="D36" t="s">
        <v>385</v>
      </c>
      <c r="E36" s="27">
        <v>442.3</v>
      </c>
      <c r="F36" s="27">
        <v>299.41</v>
      </c>
      <c r="G36" s="27">
        <v>142.89</v>
      </c>
      <c r="H36">
        <v>76</v>
      </c>
      <c r="I36" t="s">
        <v>28</v>
      </c>
    </row>
    <row r="37" ht="15" customHeight="1" spans="1:9">
      <c r="A37" t="s">
        <v>446</v>
      </c>
      <c r="B37" t="s">
        <v>447</v>
      </c>
      <c r="C37" t="s">
        <v>437</v>
      </c>
      <c r="D37" t="s">
        <v>379</v>
      </c>
      <c r="E37" s="27">
        <v>454.43</v>
      </c>
      <c r="F37" s="27">
        <v>290.1</v>
      </c>
      <c r="G37" s="27">
        <v>164.33</v>
      </c>
      <c r="H37">
        <v>114</v>
      </c>
      <c r="I37" t="s">
        <v>28</v>
      </c>
    </row>
    <row r="38" ht="15" customHeight="1" spans="1:9">
      <c r="A38" t="s">
        <v>448</v>
      </c>
      <c r="B38" t="s">
        <v>449</v>
      </c>
      <c r="C38" t="s">
        <v>437</v>
      </c>
      <c r="D38" t="s">
        <v>382</v>
      </c>
      <c r="E38" s="27">
        <v>543.43</v>
      </c>
      <c r="F38" s="27">
        <v>332.83</v>
      </c>
      <c r="G38" s="27">
        <v>210.6</v>
      </c>
      <c r="H38">
        <v>96</v>
      </c>
      <c r="I38" t="s">
        <v>28</v>
      </c>
    </row>
    <row r="39" ht="15" customHeight="1" spans="1:9">
      <c r="A39" t="s">
        <v>450</v>
      </c>
      <c r="B39" t="s">
        <v>451</v>
      </c>
      <c r="C39" t="s">
        <v>437</v>
      </c>
      <c r="D39" t="s">
        <v>379</v>
      </c>
      <c r="E39" s="27">
        <v>538.29</v>
      </c>
      <c r="F39" s="27">
        <v>282.75</v>
      </c>
      <c r="G39" s="27">
        <v>255.54</v>
      </c>
      <c r="H39">
        <v>146</v>
      </c>
      <c r="I39" t="s">
        <v>28</v>
      </c>
    </row>
    <row r="40" ht="15" customHeight="1" spans="1:9">
      <c r="A40" t="s">
        <v>452</v>
      </c>
      <c r="B40" t="s">
        <v>453</v>
      </c>
      <c r="C40" t="s">
        <v>437</v>
      </c>
      <c r="D40" t="s">
        <v>385</v>
      </c>
      <c r="E40" s="27">
        <v>381.57</v>
      </c>
      <c r="F40" s="27">
        <v>220.77</v>
      </c>
      <c r="G40" s="27">
        <v>160.8</v>
      </c>
      <c r="H40">
        <v>121</v>
      </c>
      <c r="I40" t="s">
        <v>28</v>
      </c>
    </row>
    <row r="41" ht="15" customHeight="1" spans="1:9">
      <c r="A41" t="s">
        <v>454</v>
      </c>
      <c r="B41" t="s">
        <v>455</v>
      </c>
      <c r="C41" t="s">
        <v>437</v>
      </c>
      <c r="D41" t="s">
        <v>379</v>
      </c>
      <c r="E41" s="27">
        <v>375.86</v>
      </c>
      <c r="F41" s="27">
        <v>215.24</v>
      </c>
      <c r="G41" s="27">
        <v>160.62</v>
      </c>
      <c r="H41">
        <v>126</v>
      </c>
      <c r="I41" t="s">
        <v>386</v>
      </c>
    </row>
    <row r="42" ht="15" customHeight="1" spans="1:9">
      <c r="A42" t="s">
        <v>456</v>
      </c>
      <c r="B42" t="s">
        <v>457</v>
      </c>
      <c r="C42" t="s">
        <v>458</v>
      </c>
      <c r="D42" t="s">
        <v>385</v>
      </c>
      <c r="E42" s="27">
        <v>62.13</v>
      </c>
      <c r="F42" s="27">
        <v>44.22</v>
      </c>
      <c r="G42" s="27">
        <v>17.91</v>
      </c>
      <c r="H42">
        <v>25</v>
      </c>
      <c r="I42" t="s">
        <v>28</v>
      </c>
    </row>
    <row r="43" ht="15" customHeight="1" spans="1:9">
      <c r="A43" t="s">
        <v>459</v>
      </c>
      <c r="B43" t="s">
        <v>460</v>
      </c>
      <c r="C43" t="s">
        <v>458</v>
      </c>
      <c r="D43" t="s">
        <v>369</v>
      </c>
      <c r="E43" s="27">
        <v>70.8</v>
      </c>
      <c r="F43" s="27">
        <v>42.92</v>
      </c>
      <c r="G43" s="27">
        <v>27.88</v>
      </c>
      <c r="H43">
        <v>3</v>
      </c>
      <c r="I43" t="s">
        <v>28</v>
      </c>
    </row>
    <row r="44" ht="15" customHeight="1" spans="1:9">
      <c r="A44" t="s">
        <v>461</v>
      </c>
      <c r="B44" t="s">
        <v>462</v>
      </c>
      <c r="C44" t="s">
        <v>458</v>
      </c>
      <c r="D44" t="s">
        <v>379</v>
      </c>
      <c r="E44" s="27">
        <v>59.83</v>
      </c>
      <c r="F44" s="27">
        <v>38.12</v>
      </c>
      <c r="G44" s="27">
        <v>21.71</v>
      </c>
      <c r="H44">
        <v>19</v>
      </c>
      <c r="I44" t="s">
        <v>28</v>
      </c>
    </row>
    <row r="45" ht="15" customHeight="1" spans="1:9">
      <c r="A45" t="s">
        <v>463</v>
      </c>
      <c r="B45" t="s">
        <v>464</v>
      </c>
      <c r="C45" t="s">
        <v>458</v>
      </c>
      <c r="D45" t="s">
        <v>369</v>
      </c>
      <c r="E45" s="27">
        <v>73.02</v>
      </c>
      <c r="F45" s="27">
        <v>40.98</v>
      </c>
      <c r="G45" s="27">
        <v>32.04</v>
      </c>
      <c r="H45">
        <v>166</v>
      </c>
      <c r="I45" t="s">
        <v>28</v>
      </c>
    </row>
    <row r="46" ht="15" customHeight="1" spans="1:9">
      <c r="A46" t="s">
        <v>465</v>
      </c>
      <c r="B46" t="s">
        <v>466</v>
      </c>
      <c r="C46" t="s">
        <v>458</v>
      </c>
      <c r="D46" t="s">
        <v>382</v>
      </c>
      <c r="E46" s="27">
        <v>44.16</v>
      </c>
      <c r="F46" s="27">
        <v>28.34</v>
      </c>
      <c r="G46" s="27">
        <v>15.82</v>
      </c>
      <c r="H46">
        <v>97</v>
      </c>
      <c r="I46" t="s">
        <v>386</v>
      </c>
    </row>
    <row r="47" ht="15" customHeight="1" spans="1:9">
      <c r="A47" t="s">
        <v>467</v>
      </c>
      <c r="B47" t="s">
        <v>468</v>
      </c>
      <c r="C47" t="s">
        <v>458</v>
      </c>
      <c r="D47" t="s">
        <v>369</v>
      </c>
      <c r="E47" s="27">
        <v>49.53</v>
      </c>
      <c r="F47" s="27">
        <v>34.32</v>
      </c>
      <c r="G47" s="27">
        <v>15.21</v>
      </c>
      <c r="H47">
        <v>138</v>
      </c>
      <c r="I47" t="s">
        <v>28</v>
      </c>
    </row>
    <row r="48" ht="15" customHeight="1" spans="1:9">
      <c r="A48" t="s">
        <v>469</v>
      </c>
      <c r="B48" t="s">
        <v>470</v>
      </c>
      <c r="C48" t="s">
        <v>458</v>
      </c>
      <c r="D48" t="s">
        <v>385</v>
      </c>
      <c r="E48" s="27">
        <v>30.71</v>
      </c>
      <c r="F48" s="27">
        <v>19.39</v>
      </c>
      <c r="G48" s="27">
        <v>11.32</v>
      </c>
      <c r="H48">
        <v>58</v>
      </c>
      <c r="I48" t="s">
        <v>28</v>
      </c>
    </row>
    <row r="49" ht="15" customHeight="1" spans="1:9">
      <c r="A49" t="s">
        <v>471</v>
      </c>
      <c r="B49" t="s">
        <v>472</v>
      </c>
      <c r="C49" t="s">
        <v>458</v>
      </c>
      <c r="D49" t="s">
        <v>376</v>
      </c>
      <c r="E49" s="27">
        <v>35.83</v>
      </c>
      <c r="F49" s="27">
        <v>18.04</v>
      </c>
      <c r="G49" s="27">
        <v>17.79</v>
      </c>
      <c r="H49">
        <v>113</v>
      </c>
      <c r="I49" t="s">
        <v>28</v>
      </c>
    </row>
    <row r="50" ht="15" customHeight="1" spans="1:9">
      <c r="A50" t="s">
        <v>473</v>
      </c>
      <c r="B50" t="s">
        <v>474</v>
      </c>
      <c r="C50" t="s">
        <v>458</v>
      </c>
      <c r="D50" t="s">
        <v>385</v>
      </c>
      <c r="E50" s="27">
        <v>40.73</v>
      </c>
      <c r="F50" s="27">
        <v>19.83</v>
      </c>
      <c r="G50" s="27">
        <v>20.9</v>
      </c>
      <c r="H50">
        <v>14</v>
      </c>
      <c r="I50" t="s">
        <v>28</v>
      </c>
    </row>
    <row r="51" ht="15" customHeight="1" spans="1:9">
      <c r="A51" t="s">
        <v>475</v>
      </c>
      <c r="B51" t="s">
        <v>476</v>
      </c>
      <c r="C51" t="s">
        <v>458</v>
      </c>
      <c r="D51" t="s">
        <v>382</v>
      </c>
      <c r="E51" s="27">
        <v>42</v>
      </c>
      <c r="F51" s="27">
        <v>21.63</v>
      </c>
      <c r="G51" s="27">
        <v>20.37</v>
      </c>
      <c r="H51">
        <v>105</v>
      </c>
      <c r="I51" t="s">
        <v>28</v>
      </c>
    </row>
  </sheetData>
  <conditionalFormatting sqref="H2:H51">
    <cfRule type="cellIs" dxfId="0" priority="1" operator="lessThan">
      <formula>20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4" outlineLevelCol="6"/>
  <cols>
    <col min="1" max="1" width="14" customWidth="1"/>
    <col min="2" max="7" width="16" customWidth="1"/>
  </cols>
  <sheetData>
    <row r="1" ht="15" customHeight="1" spans="1:7">
      <c r="A1" s="25" t="s">
        <v>477</v>
      </c>
      <c r="B1" s="25" t="s">
        <v>19</v>
      </c>
      <c r="C1" s="25" t="s">
        <v>20</v>
      </c>
      <c r="D1" s="25" t="s">
        <v>478</v>
      </c>
      <c r="E1" s="25" t="s">
        <v>479</v>
      </c>
      <c r="F1" s="25" t="s">
        <v>480</v>
      </c>
      <c r="G1" s="25" t="s">
        <v>481</v>
      </c>
    </row>
    <row r="2" ht="15" customHeight="1" spans="1:7">
      <c r="A2" t="s">
        <v>482</v>
      </c>
      <c r="B2" t="s">
        <v>176</v>
      </c>
      <c r="C2" t="s">
        <v>61</v>
      </c>
      <c r="D2" t="s">
        <v>483</v>
      </c>
      <c r="E2" t="s">
        <v>70</v>
      </c>
      <c r="F2" s="41">
        <v>44555</v>
      </c>
      <c r="G2">
        <v>35000</v>
      </c>
    </row>
    <row r="3" ht="15" customHeight="1" spans="1:7">
      <c r="A3" t="s">
        <v>484</v>
      </c>
      <c r="B3" t="s">
        <v>239</v>
      </c>
      <c r="C3" t="s">
        <v>161</v>
      </c>
      <c r="D3" t="s">
        <v>485</v>
      </c>
      <c r="E3" t="s">
        <v>70</v>
      </c>
      <c r="F3" s="41">
        <v>45216</v>
      </c>
      <c r="G3">
        <v>22000</v>
      </c>
    </row>
    <row r="4" ht="15" customHeight="1" spans="1:7">
      <c r="A4" t="s">
        <v>486</v>
      </c>
      <c r="B4" t="s">
        <v>55</v>
      </c>
      <c r="C4" t="s">
        <v>122</v>
      </c>
      <c r="D4" t="s">
        <v>487</v>
      </c>
      <c r="E4" t="s">
        <v>63</v>
      </c>
      <c r="F4" s="41">
        <v>45138</v>
      </c>
      <c r="G4">
        <v>18000</v>
      </c>
    </row>
    <row r="5" ht="15" customHeight="1" spans="1:7">
      <c r="A5" t="s">
        <v>488</v>
      </c>
      <c r="B5" t="s">
        <v>119</v>
      </c>
      <c r="C5" t="s">
        <v>143</v>
      </c>
      <c r="D5" t="s">
        <v>485</v>
      </c>
      <c r="E5" t="s">
        <v>50</v>
      </c>
      <c r="F5" s="41">
        <v>44786</v>
      </c>
      <c r="G5">
        <v>18000</v>
      </c>
    </row>
    <row r="6" ht="15" customHeight="1" spans="1:7">
      <c r="A6" t="s">
        <v>489</v>
      </c>
      <c r="B6" t="s">
        <v>137</v>
      </c>
      <c r="C6" t="s">
        <v>122</v>
      </c>
      <c r="D6" t="s">
        <v>490</v>
      </c>
      <c r="E6" t="s">
        <v>63</v>
      </c>
      <c r="F6" s="41">
        <v>45505</v>
      </c>
      <c r="G6">
        <v>25000</v>
      </c>
    </row>
    <row r="7" ht="15" customHeight="1" spans="1:7">
      <c r="A7" t="s">
        <v>491</v>
      </c>
      <c r="B7" t="s">
        <v>318</v>
      </c>
      <c r="C7" t="s">
        <v>122</v>
      </c>
      <c r="D7" t="s">
        <v>490</v>
      </c>
      <c r="E7" t="s">
        <v>70</v>
      </c>
      <c r="F7" s="41">
        <v>44984</v>
      </c>
      <c r="G7">
        <v>18000</v>
      </c>
    </row>
    <row r="8" ht="15" customHeight="1" spans="1:7">
      <c r="A8" t="s">
        <v>492</v>
      </c>
      <c r="B8" t="s">
        <v>239</v>
      </c>
      <c r="C8" t="s">
        <v>155</v>
      </c>
      <c r="D8" t="s">
        <v>487</v>
      </c>
      <c r="E8" t="s">
        <v>63</v>
      </c>
      <c r="F8" s="41">
        <v>45374</v>
      </c>
      <c r="G8">
        <v>25000</v>
      </c>
    </row>
    <row r="9" ht="15" customHeight="1" spans="1:7">
      <c r="A9" t="s">
        <v>493</v>
      </c>
      <c r="B9" t="s">
        <v>40</v>
      </c>
      <c r="C9" t="s">
        <v>48</v>
      </c>
      <c r="D9" t="s">
        <v>483</v>
      </c>
      <c r="E9" t="s">
        <v>50</v>
      </c>
      <c r="F9" s="41">
        <v>44759</v>
      </c>
      <c r="G9">
        <v>35000</v>
      </c>
    </row>
    <row r="10" ht="15" customHeight="1" spans="1:7">
      <c r="A10" t="s">
        <v>494</v>
      </c>
      <c r="B10" t="s">
        <v>40</v>
      </c>
      <c r="C10" t="s">
        <v>161</v>
      </c>
      <c r="D10" t="s">
        <v>490</v>
      </c>
      <c r="E10" t="s">
        <v>33</v>
      </c>
      <c r="F10" s="41">
        <v>45438</v>
      </c>
      <c r="G10">
        <v>25000</v>
      </c>
    </row>
    <row r="11" ht="15" customHeight="1" spans="1:7">
      <c r="A11" t="s">
        <v>495</v>
      </c>
      <c r="B11" t="s">
        <v>119</v>
      </c>
      <c r="C11" t="s">
        <v>68</v>
      </c>
      <c r="D11" t="s">
        <v>487</v>
      </c>
      <c r="E11" t="s">
        <v>70</v>
      </c>
      <c r="F11" s="41">
        <v>45440</v>
      </c>
      <c r="G11">
        <v>22000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50"/>
  <sheetViews>
    <sheetView zoomScale="48" zoomScaleNormal="48" topLeftCell="A27" workbookViewId="0">
      <selection activeCell="T67" sqref="T67"/>
    </sheetView>
  </sheetViews>
  <sheetFormatPr defaultColWidth="8.66666666666667" defaultRowHeight="14" outlineLevelCol="5"/>
  <cols>
    <col min="1" max="1" width="14.5"/>
    <col min="2" max="2" width="20"/>
    <col min="3" max="5" width="13.9166666666667"/>
    <col min="6" max="31" width="12.0833333333333"/>
    <col min="32" max="418" width="11"/>
    <col min="419" max="419" width="12.0833333333333"/>
  </cols>
  <sheetData>
    <row r="3" spans="1:2">
      <c r="A3" t="s">
        <v>496</v>
      </c>
      <c r="B3" t="s">
        <v>497</v>
      </c>
    </row>
    <row r="4" spans="1:2">
      <c r="A4" t="s">
        <v>498</v>
      </c>
      <c r="B4">
        <v>97589.59</v>
      </c>
    </row>
    <row r="5" spans="1:2">
      <c r="A5" t="s">
        <v>499</v>
      </c>
      <c r="B5">
        <v>83680.31</v>
      </c>
    </row>
    <row r="6" spans="1:2">
      <c r="A6" t="s">
        <v>500</v>
      </c>
      <c r="B6">
        <v>99309.1699999999</v>
      </c>
    </row>
    <row r="7" spans="1:2">
      <c r="A7" t="s">
        <v>501</v>
      </c>
      <c r="B7">
        <v>91016.46</v>
      </c>
    </row>
    <row r="8" spans="1:2">
      <c r="A8" t="s">
        <v>502</v>
      </c>
      <c r="B8">
        <v>371595.53</v>
      </c>
    </row>
    <row r="23" spans="1:6">
      <c r="A23" t="s">
        <v>503</v>
      </c>
      <c r="B23" t="s">
        <v>497</v>
      </c>
    </row>
    <row r="24" spans="1:6">
      <c r="A24" t="s">
        <v>504</v>
      </c>
      <c r="B24">
        <v>27449.06</v>
      </c>
    </row>
    <row r="25" spans="1:6">
      <c r="A25" t="s">
        <v>505</v>
      </c>
      <c r="B25">
        <v>22431.28</v>
      </c>
      <c r="E25" t="s">
        <v>503</v>
      </c>
      <c r="F25" t="s">
        <v>506</v>
      </c>
    </row>
    <row r="26" spans="1:6">
      <c r="A26" t="s">
        <v>507</v>
      </c>
      <c r="B26">
        <v>21157.72</v>
      </c>
      <c r="E26" t="s">
        <v>504</v>
      </c>
      <c r="F26">
        <v>27449.06</v>
      </c>
    </row>
    <row r="27" spans="1:6">
      <c r="A27" t="s">
        <v>508</v>
      </c>
      <c r="B27">
        <v>19776.33</v>
      </c>
      <c r="E27" t="s">
        <v>505</v>
      </c>
      <c r="F27">
        <v>22431.28</v>
      </c>
    </row>
    <row r="28" spans="1:6">
      <c r="A28" t="s">
        <v>509</v>
      </c>
      <c r="B28">
        <v>19723.36</v>
      </c>
      <c r="E28" t="s">
        <v>507</v>
      </c>
      <c r="F28">
        <v>21157.72</v>
      </c>
    </row>
    <row r="29" spans="1:6">
      <c r="A29" t="s">
        <v>510</v>
      </c>
      <c r="B29">
        <v>19635.38</v>
      </c>
      <c r="E29" t="s">
        <v>508</v>
      </c>
      <c r="F29">
        <v>19776.33</v>
      </c>
    </row>
    <row r="30" spans="1:6">
      <c r="A30" t="s">
        <v>511</v>
      </c>
      <c r="B30">
        <v>19557.24</v>
      </c>
      <c r="E30" t="s">
        <v>509</v>
      </c>
      <c r="F30">
        <v>19723.36</v>
      </c>
    </row>
    <row r="31" spans="1:6">
      <c r="A31" t="s">
        <v>512</v>
      </c>
      <c r="B31">
        <v>18742.62</v>
      </c>
      <c r="E31" t="s">
        <v>510</v>
      </c>
      <c r="F31">
        <v>19635.38</v>
      </c>
    </row>
    <row r="32" spans="1:6">
      <c r="A32" t="s">
        <v>513</v>
      </c>
      <c r="B32">
        <v>17147.6</v>
      </c>
      <c r="E32" t="s">
        <v>511</v>
      </c>
      <c r="F32">
        <v>19557.24</v>
      </c>
    </row>
    <row r="33" spans="1:6">
      <c r="A33" t="s">
        <v>514</v>
      </c>
      <c r="B33">
        <v>16764.52</v>
      </c>
      <c r="E33" t="s">
        <v>512</v>
      </c>
      <c r="F33">
        <v>18742.62</v>
      </c>
    </row>
    <row r="34" spans="1:6">
      <c r="A34" t="s">
        <v>515</v>
      </c>
      <c r="B34">
        <v>16102.83</v>
      </c>
      <c r="E34" t="s">
        <v>513</v>
      </c>
      <c r="F34">
        <v>17147.6</v>
      </c>
    </row>
    <row r="35" spans="1:6">
      <c r="A35" t="s">
        <v>516</v>
      </c>
      <c r="B35">
        <v>15420.11</v>
      </c>
      <c r="E35" t="s">
        <v>514</v>
      </c>
      <c r="F35">
        <v>16764.52</v>
      </c>
    </row>
    <row r="36" spans="1:6">
      <c r="A36" t="s">
        <v>517</v>
      </c>
      <c r="B36">
        <v>15307.28</v>
      </c>
      <c r="E36" t="s">
        <v>515</v>
      </c>
      <c r="F36">
        <v>16102.83</v>
      </c>
    </row>
    <row r="37" spans="1:6">
      <c r="A37" t="s">
        <v>518</v>
      </c>
      <c r="B37">
        <v>15108.52</v>
      </c>
      <c r="E37" t="s">
        <v>516</v>
      </c>
      <c r="F37">
        <v>15420.11</v>
      </c>
    </row>
    <row r="38" spans="1:6">
      <c r="A38" t="s">
        <v>519</v>
      </c>
      <c r="B38">
        <v>14920.69</v>
      </c>
      <c r="E38" t="s">
        <v>517</v>
      </c>
      <c r="F38">
        <v>15307.28</v>
      </c>
    </row>
    <row r="39" spans="1:6">
      <c r="A39" t="s">
        <v>520</v>
      </c>
      <c r="B39">
        <v>13438.21</v>
      </c>
      <c r="E39" t="s">
        <v>518</v>
      </c>
      <c r="F39">
        <v>15108.52</v>
      </c>
    </row>
    <row r="40" spans="1:6">
      <c r="A40" t="s">
        <v>521</v>
      </c>
      <c r="B40">
        <v>13350.98</v>
      </c>
      <c r="E40" t="s">
        <v>519</v>
      </c>
      <c r="F40">
        <v>14920.69</v>
      </c>
    </row>
    <row r="41" spans="1:6">
      <c r="A41" t="s">
        <v>522</v>
      </c>
      <c r="B41">
        <v>11714.22</v>
      </c>
      <c r="E41" t="s">
        <v>520</v>
      </c>
      <c r="F41">
        <v>13438.21</v>
      </c>
    </row>
    <row r="42" spans="1:6">
      <c r="A42" t="s">
        <v>523</v>
      </c>
      <c r="B42">
        <v>11619.16</v>
      </c>
      <c r="E42" t="s">
        <v>521</v>
      </c>
      <c r="F42">
        <v>13350.98</v>
      </c>
    </row>
    <row r="43" spans="1:6">
      <c r="A43" t="s">
        <v>524</v>
      </c>
      <c r="B43">
        <v>10304.42</v>
      </c>
      <c r="E43" t="s">
        <v>522</v>
      </c>
      <c r="F43">
        <v>11714.22</v>
      </c>
    </row>
    <row r="44" spans="1:6">
      <c r="A44" t="s">
        <v>525</v>
      </c>
      <c r="B44">
        <v>10244.68</v>
      </c>
      <c r="E44" t="s">
        <v>523</v>
      </c>
      <c r="F44">
        <v>11619.16</v>
      </c>
    </row>
    <row r="45" spans="1:6">
      <c r="A45" t="s">
        <v>526</v>
      </c>
      <c r="B45">
        <v>8175.66</v>
      </c>
      <c r="E45" t="s">
        <v>524</v>
      </c>
      <c r="F45">
        <v>10304.42</v>
      </c>
    </row>
    <row r="46" spans="1:6">
      <c r="A46" t="s">
        <v>527</v>
      </c>
      <c r="B46">
        <v>7372.46</v>
      </c>
      <c r="E46" t="s">
        <v>525</v>
      </c>
      <c r="F46">
        <v>10244.68</v>
      </c>
    </row>
    <row r="47" spans="1:6">
      <c r="A47" t="s">
        <v>528</v>
      </c>
      <c r="B47">
        <v>6131.2</v>
      </c>
      <c r="E47" t="s">
        <v>526</v>
      </c>
      <c r="F47">
        <v>8175.66</v>
      </c>
    </row>
    <row r="48" spans="1:6">
      <c r="A48" t="s">
        <v>502</v>
      </c>
      <c r="B48">
        <v>371595.53</v>
      </c>
      <c r="E48" t="s">
        <v>527</v>
      </c>
      <c r="F48">
        <v>7372.46</v>
      </c>
    </row>
    <row r="49" spans="5:6">
      <c r="E49" t="s">
        <v>528</v>
      </c>
      <c r="F49">
        <v>6131.2</v>
      </c>
    </row>
    <row r="50" spans="5:6">
      <c r="E50" t="s">
        <v>502</v>
      </c>
      <c r="F50">
        <v>371595.53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1"/>
  <sheetViews>
    <sheetView zoomScale="68" zoomScaleNormal="68" topLeftCell="E2" workbookViewId="0">
      <selection activeCell="L27" sqref="L27"/>
    </sheetView>
  </sheetViews>
  <sheetFormatPr defaultColWidth="9" defaultRowHeight="14"/>
  <cols>
    <col min="1" max="1" width="14" customWidth="1"/>
    <col min="2" max="11" width="16" customWidth="1"/>
  </cols>
  <sheetData>
    <row r="1" ht="15" customHeight="1" spans="1:11">
      <c r="A1" s="25" t="s">
        <v>529</v>
      </c>
      <c r="B1" s="25" t="s">
        <v>530</v>
      </c>
      <c r="C1" s="25" t="s">
        <v>18</v>
      </c>
      <c r="D1" s="25" t="s">
        <v>477</v>
      </c>
      <c r="E1" s="25" t="s">
        <v>496</v>
      </c>
      <c r="F1" s="25" t="s">
        <v>531</v>
      </c>
      <c r="G1" s="25" t="s">
        <v>532</v>
      </c>
      <c r="H1" s="25" t="s">
        <v>533</v>
      </c>
      <c r="I1" s="25" t="s">
        <v>534</v>
      </c>
      <c r="J1" s="25" t="s">
        <v>535</v>
      </c>
      <c r="K1" s="25" t="s">
        <v>503</v>
      </c>
    </row>
    <row r="2" ht="15" customHeight="1" spans="1:11">
      <c r="A2" t="s">
        <v>536</v>
      </c>
      <c r="B2" s="41">
        <v>45943</v>
      </c>
      <c r="C2" t="s">
        <v>139</v>
      </c>
      <c r="D2" t="s">
        <v>495</v>
      </c>
      <c r="E2" t="s">
        <v>500</v>
      </c>
      <c r="F2" t="s">
        <v>537</v>
      </c>
      <c r="G2" t="s">
        <v>538</v>
      </c>
      <c r="H2" s="27">
        <v>0</v>
      </c>
      <c r="I2" s="27">
        <v>748.02</v>
      </c>
      <c r="J2" s="27">
        <v>897.62</v>
      </c>
      <c r="K2" s="29" t="str">
        <f>TEXT(B2,"mm-yyyy")</f>
        <v>10-2025</v>
      </c>
    </row>
    <row r="3" ht="15" customHeight="1" spans="1:11">
      <c r="A3" t="s">
        <v>539</v>
      </c>
      <c r="B3" s="41">
        <v>45497</v>
      </c>
      <c r="C3" t="s">
        <v>111</v>
      </c>
      <c r="D3" t="s">
        <v>494</v>
      </c>
      <c r="E3" t="s">
        <v>500</v>
      </c>
      <c r="F3" t="s">
        <v>537</v>
      </c>
      <c r="G3" t="s">
        <v>540</v>
      </c>
      <c r="H3" s="27">
        <v>4.9</v>
      </c>
      <c r="I3" s="27">
        <v>2103.62</v>
      </c>
      <c r="J3" s="27">
        <v>2524.34</v>
      </c>
      <c r="K3" s="29" t="str">
        <f t="shared" ref="K3:K66" si="0">TEXT(B3,"mm-yyyy")</f>
        <v>07-2024</v>
      </c>
    </row>
    <row r="4" ht="15" customHeight="1" spans="1:11">
      <c r="A4" t="s">
        <v>541</v>
      </c>
      <c r="B4" s="41">
        <v>45638</v>
      </c>
      <c r="C4" t="s">
        <v>320</v>
      </c>
      <c r="D4" t="s">
        <v>484</v>
      </c>
      <c r="E4" t="s">
        <v>499</v>
      </c>
      <c r="F4" t="s">
        <v>542</v>
      </c>
      <c r="G4" t="s">
        <v>538</v>
      </c>
      <c r="H4" s="27">
        <v>4.9</v>
      </c>
      <c r="I4" s="27">
        <v>1648.02</v>
      </c>
      <c r="J4" s="27">
        <v>1977.62</v>
      </c>
      <c r="K4" s="29" t="str">
        <f t="shared" si="0"/>
        <v>12-2024</v>
      </c>
    </row>
    <row r="5" ht="15" customHeight="1" spans="1:11">
      <c r="A5" t="s">
        <v>543</v>
      </c>
      <c r="B5" s="41">
        <v>45980</v>
      </c>
      <c r="C5" t="s">
        <v>168</v>
      </c>
      <c r="D5" t="s">
        <v>495</v>
      </c>
      <c r="E5" t="s">
        <v>499</v>
      </c>
      <c r="F5" t="s">
        <v>537</v>
      </c>
      <c r="G5" t="s">
        <v>540</v>
      </c>
      <c r="H5" s="27">
        <v>0</v>
      </c>
      <c r="I5" s="27">
        <v>559.21</v>
      </c>
      <c r="J5" s="27">
        <v>671.05</v>
      </c>
      <c r="K5" s="29" t="str">
        <f t="shared" si="0"/>
        <v>11-2025</v>
      </c>
    </row>
    <row r="6" ht="15" customHeight="1" spans="1:11">
      <c r="A6" t="s">
        <v>544</v>
      </c>
      <c r="B6" s="41">
        <v>46009</v>
      </c>
      <c r="C6" t="s">
        <v>181</v>
      </c>
      <c r="D6" t="s">
        <v>492</v>
      </c>
      <c r="E6" t="s">
        <v>501</v>
      </c>
      <c r="F6" t="s">
        <v>537</v>
      </c>
      <c r="G6" t="s">
        <v>545</v>
      </c>
      <c r="H6" s="27">
        <v>7.9</v>
      </c>
      <c r="I6" s="27">
        <v>821.79</v>
      </c>
      <c r="J6" s="27">
        <v>986.15</v>
      </c>
      <c r="K6" s="29" t="str">
        <f t="shared" si="0"/>
        <v>12-2025</v>
      </c>
    </row>
    <row r="7" ht="15" customHeight="1" spans="1:11">
      <c r="A7" t="s">
        <v>546</v>
      </c>
      <c r="B7" s="41">
        <v>45962</v>
      </c>
      <c r="C7" t="s">
        <v>99</v>
      </c>
      <c r="D7" t="s">
        <v>493</v>
      </c>
      <c r="E7" t="s">
        <v>499</v>
      </c>
      <c r="F7" t="s">
        <v>547</v>
      </c>
      <c r="G7" t="s">
        <v>540</v>
      </c>
      <c r="H7" s="27">
        <v>0</v>
      </c>
      <c r="I7" s="27">
        <v>528.92</v>
      </c>
      <c r="J7" s="27">
        <v>634.7</v>
      </c>
      <c r="K7" s="29" t="str">
        <f t="shared" si="0"/>
        <v>11-2025</v>
      </c>
    </row>
    <row r="8" ht="15" customHeight="1" spans="1:11">
      <c r="A8" t="s">
        <v>548</v>
      </c>
      <c r="B8" s="41">
        <v>45659</v>
      </c>
      <c r="C8" t="s">
        <v>77</v>
      </c>
      <c r="D8" t="s">
        <v>492</v>
      </c>
      <c r="E8" t="s">
        <v>500</v>
      </c>
      <c r="F8" t="s">
        <v>537</v>
      </c>
      <c r="G8" t="s">
        <v>545</v>
      </c>
      <c r="H8" s="27">
        <v>12.5</v>
      </c>
      <c r="I8" s="27">
        <v>602.95</v>
      </c>
      <c r="J8" s="27">
        <v>723.54</v>
      </c>
      <c r="K8" s="29" t="str">
        <f t="shared" si="0"/>
        <v>01-2025</v>
      </c>
    </row>
    <row r="9" ht="15" customHeight="1" spans="1:11">
      <c r="A9" t="s">
        <v>549</v>
      </c>
      <c r="B9" s="41">
        <v>45313</v>
      </c>
      <c r="C9" t="s">
        <v>72</v>
      </c>
      <c r="D9" t="s">
        <v>491</v>
      </c>
      <c r="E9" t="s">
        <v>498</v>
      </c>
      <c r="F9" t="s">
        <v>550</v>
      </c>
      <c r="G9" t="s">
        <v>538</v>
      </c>
      <c r="H9" s="27">
        <v>0</v>
      </c>
      <c r="I9" s="27">
        <v>862.57</v>
      </c>
      <c r="J9" s="27">
        <v>1035.08</v>
      </c>
      <c r="K9" s="29" t="str">
        <f t="shared" si="0"/>
        <v>01-2024</v>
      </c>
    </row>
    <row r="10" ht="15" customHeight="1" spans="1:11">
      <c r="A10" t="s">
        <v>551</v>
      </c>
      <c r="B10" s="41">
        <v>45425</v>
      </c>
      <c r="C10" t="s">
        <v>251</v>
      </c>
      <c r="D10" t="s">
        <v>489</v>
      </c>
      <c r="E10" t="s">
        <v>498</v>
      </c>
      <c r="F10" t="s">
        <v>537</v>
      </c>
      <c r="G10" t="s">
        <v>545</v>
      </c>
      <c r="H10" s="27">
        <v>4.9</v>
      </c>
      <c r="I10" s="27">
        <v>65.08</v>
      </c>
      <c r="J10" s="27">
        <v>78.1</v>
      </c>
      <c r="K10" s="29" t="str">
        <f t="shared" si="0"/>
        <v>05-2024</v>
      </c>
    </row>
    <row r="11" ht="15" customHeight="1" spans="1:11">
      <c r="A11" t="s">
        <v>552</v>
      </c>
      <c r="B11" s="41">
        <v>45470</v>
      </c>
      <c r="C11" t="s">
        <v>168</v>
      </c>
      <c r="D11" t="s">
        <v>482</v>
      </c>
      <c r="E11" t="s">
        <v>498</v>
      </c>
      <c r="F11" t="s">
        <v>537</v>
      </c>
      <c r="G11" t="s">
        <v>545</v>
      </c>
      <c r="H11" s="27">
        <v>0</v>
      </c>
      <c r="I11" s="27">
        <v>115.96</v>
      </c>
      <c r="J11" s="27">
        <v>139.15</v>
      </c>
      <c r="K11" s="29" t="str">
        <f t="shared" si="0"/>
        <v>06-2024</v>
      </c>
    </row>
    <row r="12" ht="15" customHeight="1" spans="1:11">
      <c r="A12" t="s">
        <v>553</v>
      </c>
      <c r="B12" s="41">
        <v>45921</v>
      </c>
      <c r="C12" t="s">
        <v>66</v>
      </c>
      <c r="D12" t="s">
        <v>494</v>
      </c>
      <c r="E12" t="s">
        <v>500</v>
      </c>
      <c r="F12" t="s">
        <v>537</v>
      </c>
      <c r="G12" t="s">
        <v>545</v>
      </c>
      <c r="H12" s="27">
        <v>0</v>
      </c>
      <c r="I12" s="27">
        <v>1636.29</v>
      </c>
      <c r="J12" s="27">
        <v>1963.55</v>
      </c>
      <c r="K12" s="29" t="str">
        <f t="shared" si="0"/>
        <v>09-2025</v>
      </c>
    </row>
    <row r="13" ht="15" customHeight="1" spans="1:11">
      <c r="A13" t="s">
        <v>554</v>
      </c>
      <c r="B13" s="41">
        <v>45853</v>
      </c>
      <c r="C13" t="s">
        <v>297</v>
      </c>
      <c r="D13" t="s">
        <v>491</v>
      </c>
      <c r="E13" t="s">
        <v>499</v>
      </c>
      <c r="F13" t="s">
        <v>550</v>
      </c>
      <c r="G13" t="s">
        <v>540</v>
      </c>
      <c r="H13" s="27">
        <v>12.5</v>
      </c>
      <c r="I13" s="27">
        <v>169.23</v>
      </c>
      <c r="J13" s="27">
        <v>203.08</v>
      </c>
      <c r="K13" s="29" t="str">
        <f t="shared" si="0"/>
        <v>07-2025</v>
      </c>
    </row>
    <row r="14" ht="15" customHeight="1" spans="1:11">
      <c r="A14" t="s">
        <v>555</v>
      </c>
      <c r="B14" s="41">
        <v>45856</v>
      </c>
      <c r="C14" t="s">
        <v>299</v>
      </c>
      <c r="D14" t="s">
        <v>488</v>
      </c>
      <c r="E14" t="s">
        <v>499</v>
      </c>
      <c r="F14" t="s">
        <v>537</v>
      </c>
      <c r="G14" t="s">
        <v>538</v>
      </c>
      <c r="H14" s="27">
        <v>12.5</v>
      </c>
      <c r="I14" s="27">
        <v>101</v>
      </c>
      <c r="J14" s="27">
        <v>121.2</v>
      </c>
      <c r="K14" s="29" t="str">
        <f t="shared" si="0"/>
        <v>07-2025</v>
      </c>
    </row>
    <row r="15" ht="15" customHeight="1" spans="1:11">
      <c r="A15" t="s">
        <v>556</v>
      </c>
      <c r="B15" s="41">
        <v>45973</v>
      </c>
      <c r="C15" t="s">
        <v>163</v>
      </c>
      <c r="D15" t="s">
        <v>491</v>
      </c>
      <c r="E15" t="s">
        <v>498</v>
      </c>
      <c r="F15" t="s">
        <v>537</v>
      </c>
      <c r="G15" t="s">
        <v>557</v>
      </c>
      <c r="H15" s="27">
        <v>0</v>
      </c>
      <c r="I15" s="27">
        <v>80.3</v>
      </c>
      <c r="J15" s="27">
        <v>96.36</v>
      </c>
      <c r="K15" s="29" t="str">
        <f t="shared" si="0"/>
        <v>11-2025</v>
      </c>
    </row>
    <row r="16" ht="15" customHeight="1" spans="1:11">
      <c r="A16" t="s">
        <v>558</v>
      </c>
      <c r="B16" s="41">
        <v>45673</v>
      </c>
      <c r="C16" t="s">
        <v>322</v>
      </c>
      <c r="D16" t="s">
        <v>486</v>
      </c>
      <c r="E16" t="s">
        <v>501</v>
      </c>
      <c r="F16" t="s">
        <v>537</v>
      </c>
      <c r="G16" t="s">
        <v>540</v>
      </c>
      <c r="H16" s="27">
        <v>0</v>
      </c>
      <c r="I16" s="27">
        <v>314.9</v>
      </c>
      <c r="J16" s="27">
        <v>377.88</v>
      </c>
      <c r="K16" s="29" t="str">
        <f t="shared" si="0"/>
        <v>01-2025</v>
      </c>
    </row>
    <row r="17" ht="15" customHeight="1" spans="1:11">
      <c r="A17" t="s">
        <v>559</v>
      </c>
      <c r="B17" s="41">
        <v>45906</v>
      </c>
      <c r="C17" t="s">
        <v>183</v>
      </c>
      <c r="D17" t="s">
        <v>491</v>
      </c>
      <c r="E17" t="s">
        <v>501</v>
      </c>
      <c r="F17" t="s">
        <v>537</v>
      </c>
      <c r="G17" t="s">
        <v>538</v>
      </c>
      <c r="H17" s="27">
        <v>4.9</v>
      </c>
      <c r="I17" s="27">
        <v>1055.3</v>
      </c>
      <c r="J17" s="27">
        <v>1266.36</v>
      </c>
      <c r="K17" s="29" t="str">
        <f t="shared" si="0"/>
        <v>09-2025</v>
      </c>
    </row>
    <row r="18" ht="15" customHeight="1" spans="1:11">
      <c r="A18" t="s">
        <v>560</v>
      </c>
      <c r="B18" s="41">
        <v>45866</v>
      </c>
      <c r="C18" t="s">
        <v>311</v>
      </c>
      <c r="D18" t="s">
        <v>495</v>
      </c>
      <c r="E18" t="s">
        <v>501</v>
      </c>
      <c r="F18" t="s">
        <v>537</v>
      </c>
      <c r="G18" t="s">
        <v>540</v>
      </c>
      <c r="H18" s="27">
        <v>0</v>
      </c>
      <c r="I18" s="27">
        <v>132.48</v>
      </c>
      <c r="J18" s="27">
        <v>158.98</v>
      </c>
      <c r="K18" s="29" t="str">
        <f t="shared" si="0"/>
        <v>07-2025</v>
      </c>
    </row>
    <row r="19" ht="15" customHeight="1" spans="1:11">
      <c r="A19" t="s">
        <v>561</v>
      </c>
      <c r="B19" s="41">
        <v>45651</v>
      </c>
      <c r="C19" t="s">
        <v>29</v>
      </c>
      <c r="D19" t="s">
        <v>486</v>
      </c>
      <c r="E19" t="s">
        <v>498</v>
      </c>
      <c r="F19" t="s">
        <v>537</v>
      </c>
      <c r="G19" t="s">
        <v>557</v>
      </c>
      <c r="H19" s="27">
        <v>0</v>
      </c>
      <c r="I19" s="27">
        <v>497.04</v>
      </c>
      <c r="J19" s="27">
        <v>596.45</v>
      </c>
      <c r="K19" s="29" t="str">
        <f t="shared" si="0"/>
        <v>12-2024</v>
      </c>
    </row>
    <row r="20" ht="15" customHeight="1" spans="1:11">
      <c r="A20" t="s">
        <v>562</v>
      </c>
      <c r="B20" s="41">
        <v>45835</v>
      </c>
      <c r="C20" t="s">
        <v>147</v>
      </c>
      <c r="D20" t="s">
        <v>492</v>
      </c>
      <c r="E20" t="s">
        <v>499</v>
      </c>
      <c r="F20" t="s">
        <v>537</v>
      </c>
      <c r="G20" t="s">
        <v>538</v>
      </c>
      <c r="H20" s="27">
        <v>7.9</v>
      </c>
      <c r="I20" s="27">
        <v>562.16</v>
      </c>
      <c r="J20" s="27">
        <v>674.59</v>
      </c>
      <c r="K20" s="29" t="str">
        <f t="shared" si="0"/>
        <v>06-2025</v>
      </c>
    </row>
    <row r="21" ht="15" customHeight="1" spans="1:11">
      <c r="A21" t="s">
        <v>563</v>
      </c>
      <c r="B21" s="41">
        <v>45451</v>
      </c>
      <c r="C21" t="s">
        <v>127</v>
      </c>
      <c r="D21" t="s">
        <v>495</v>
      </c>
      <c r="E21" t="s">
        <v>501</v>
      </c>
      <c r="F21" t="s">
        <v>537</v>
      </c>
      <c r="G21" t="s">
        <v>540</v>
      </c>
      <c r="H21" s="27">
        <v>12.5</v>
      </c>
      <c r="I21" s="27">
        <v>630.43</v>
      </c>
      <c r="J21" s="27">
        <v>756.52</v>
      </c>
      <c r="K21" s="29" t="str">
        <f t="shared" si="0"/>
        <v>06-2024</v>
      </c>
    </row>
    <row r="22" ht="15" customHeight="1" spans="1:11">
      <c r="A22" t="s">
        <v>564</v>
      </c>
      <c r="B22" s="41">
        <v>45582</v>
      </c>
      <c r="C22" t="s">
        <v>286</v>
      </c>
      <c r="D22" t="s">
        <v>495</v>
      </c>
      <c r="E22" t="s">
        <v>499</v>
      </c>
      <c r="F22" t="s">
        <v>537</v>
      </c>
      <c r="G22" t="s">
        <v>540</v>
      </c>
      <c r="H22" s="27">
        <v>0</v>
      </c>
      <c r="I22" s="27">
        <v>381.57</v>
      </c>
      <c r="J22" s="27">
        <v>457.88</v>
      </c>
      <c r="K22" s="29" t="str">
        <f t="shared" si="0"/>
        <v>10-2024</v>
      </c>
    </row>
    <row r="23" ht="15" customHeight="1" spans="1:11">
      <c r="A23" t="s">
        <v>565</v>
      </c>
      <c r="B23" s="41">
        <v>45600</v>
      </c>
      <c r="C23" t="s">
        <v>147</v>
      </c>
      <c r="D23" t="s">
        <v>486</v>
      </c>
      <c r="E23" t="s">
        <v>500</v>
      </c>
      <c r="F23" t="s">
        <v>537</v>
      </c>
      <c r="G23" t="s">
        <v>545</v>
      </c>
      <c r="H23" s="27">
        <v>0</v>
      </c>
      <c r="I23" s="27">
        <v>1225.32</v>
      </c>
      <c r="J23" s="27">
        <v>1470.38</v>
      </c>
      <c r="K23" s="29" t="str">
        <f t="shared" si="0"/>
        <v>11-2024</v>
      </c>
    </row>
    <row r="24" ht="15" customHeight="1" spans="1:11">
      <c r="A24" t="s">
        <v>566</v>
      </c>
      <c r="B24" s="41">
        <v>45864</v>
      </c>
      <c r="C24" t="s">
        <v>328</v>
      </c>
      <c r="D24" t="s">
        <v>491</v>
      </c>
      <c r="E24" t="s">
        <v>501</v>
      </c>
      <c r="F24" t="s">
        <v>537</v>
      </c>
      <c r="G24" t="s">
        <v>545</v>
      </c>
      <c r="H24" s="27">
        <v>12.5</v>
      </c>
      <c r="I24" s="27">
        <v>318.28</v>
      </c>
      <c r="J24" s="27">
        <v>381.94</v>
      </c>
      <c r="K24" s="29" t="str">
        <f t="shared" si="0"/>
        <v>07-2025</v>
      </c>
    </row>
    <row r="25" ht="15" customHeight="1" spans="1:11">
      <c r="A25" t="s">
        <v>567</v>
      </c>
      <c r="B25" s="41">
        <v>45731</v>
      </c>
      <c r="C25" t="s">
        <v>259</v>
      </c>
      <c r="D25" t="s">
        <v>492</v>
      </c>
      <c r="E25" t="s">
        <v>499</v>
      </c>
      <c r="F25" t="s">
        <v>537</v>
      </c>
      <c r="G25" t="s">
        <v>557</v>
      </c>
      <c r="H25" s="27">
        <v>0</v>
      </c>
      <c r="I25" s="27">
        <v>1187.59</v>
      </c>
      <c r="J25" s="27">
        <v>1425.11</v>
      </c>
      <c r="K25" s="29" t="str">
        <f t="shared" si="0"/>
        <v>03-2025</v>
      </c>
    </row>
    <row r="26" ht="15" customHeight="1" spans="1:11">
      <c r="A26" t="s">
        <v>568</v>
      </c>
      <c r="B26" s="41">
        <v>45639</v>
      </c>
      <c r="C26" t="s">
        <v>152</v>
      </c>
      <c r="D26" t="s">
        <v>491</v>
      </c>
      <c r="E26" t="s">
        <v>498</v>
      </c>
      <c r="F26" t="s">
        <v>537</v>
      </c>
      <c r="G26" t="s">
        <v>545</v>
      </c>
      <c r="H26" s="27">
        <v>4.9</v>
      </c>
      <c r="I26" s="27">
        <v>597.52</v>
      </c>
      <c r="J26" s="27">
        <v>717.02</v>
      </c>
      <c r="K26" s="29" t="str">
        <f t="shared" si="0"/>
        <v>12-2024</v>
      </c>
    </row>
    <row r="27" ht="15" customHeight="1" spans="1:11">
      <c r="A27" t="s">
        <v>569</v>
      </c>
      <c r="B27" s="41">
        <v>45369</v>
      </c>
      <c r="C27" t="s">
        <v>133</v>
      </c>
      <c r="D27" t="s">
        <v>493</v>
      </c>
      <c r="E27" t="s">
        <v>499</v>
      </c>
      <c r="F27" t="s">
        <v>537</v>
      </c>
      <c r="G27" t="s">
        <v>557</v>
      </c>
      <c r="H27" s="27">
        <v>7.9</v>
      </c>
      <c r="I27" s="27">
        <v>770.95</v>
      </c>
      <c r="J27" s="27">
        <v>925.14</v>
      </c>
      <c r="K27" s="29" t="str">
        <f t="shared" si="0"/>
        <v>03-2024</v>
      </c>
    </row>
    <row r="28" ht="15" customHeight="1" spans="1:11">
      <c r="A28" t="s">
        <v>570</v>
      </c>
      <c r="B28" s="41">
        <v>45609</v>
      </c>
      <c r="C28" t="s">
        <v>230</v>
      </c>
      <c r="D28" t="s">
        <v>493</v>
      </c>
      <c r="E28" t="s">
        <v>501</v>
      </c>
      <c r="F28" t="s">
        <v>537</v>
      </c>
      <c r="G28" t="s">
        <v>540</v>
      </c>
      <c r="H28" s="27">
        <v>0</v>
      </c>
      <c r="I28" s="27">
        <v>227.38</v>
      </c>
      <c r="J28" s="27">
        <v>272.86</v>
      </c>
      <c r="K28" s="29" t="str">
        <f t="shared" si="0"/>
        <v>11-2024</v>
      </c>
    </row>
    <row r="29" ht="15" customHeight="1" spans="1:11">
      <c r="A29" t="s">
        <v>571</v>
      </c>
      <c r="B29" s="41">
        <v>45334</v>
      </c>
      <c r="C29" t="s">
        <v>226</v>
      </c>
      <c r="D29" t="s">
        <v>495</v>
      </c>
      <c r="E29" t="s">
        <v>498</v>
      </c>
      <c r="F29" t="s">
        <v>537</v>
      </c>
      <c r="G29" t="s">
        <v>557</v>
      </c>
      <c r="H29" s="27">
        <v>4.9</v>
      </c>
      <c r="I29" s="27">
        <v>1465.37</v>
      </c>
      <c r="J29" s="27">
        <v>1758.44</v>
      </c>
      <c r="K29" s="29" t="str">
        <f t="shared" si="0"/>
        <v>02-2024</v>
      </c>
    </row>
    <row r="30" ht="15" customHeight="1" spans="1:11">
      <c r="A30" t="s">
        <v>572</v>
      </c>
      <c r="B30" s="41">
        <v>45673</v>
      </c>
      <c r="C30" t="s">
        <v>351</v>
      </c>
      <c r="D30" t="s">
        <v>489</v>
      </c>
      <c r="E30" t="s">
        <v>499</v>
      </c>
      <c r="F30" t="s">
        <v>537</v>
      </c>
      <c r="G30" t="s">
        <v>540</v>
      </c>
      <c r="H30" s="27">
        <v>0</v>
      </c>
      <c r="I30" s="27">
        <v>235.94</v>
      </c>
      <c r="J30" s="27">
        <v>283.13</v>
      </c>
      <c r="K30" s="29" t="str">
        <f t="shared" si="0"/>
        <v>01-2025</v>
      </c>
    </row>
    <row r="31" ht="15" customHeight="1" spans="1:11">
      <c r="A31" t="s">
        <v>573</v>
      </c>
      <c r="B31" s="41">
        <v>45909</v>
      </c>
      <c r="C31" t="s">
        <v>338</v>
      </c>
      <c r="D31" t="s">
        <v>486</v>
      </c>
      <c r="E31" t="s">
        <v>500</v>
      </c>
      <c r="F31" t="s">
        <v>537</v>
      </c>
      <c r="G31" t="s">
        <v>538</v>
      </c>
      <c r="H31" s="27">
        <v>7.9</v>
      </c>
      <c r="I31" s="27">
        <v>383.16</v>
      </c>
      <c r="J31" s="27">
        <v>459.79</v>
      </c>
      <c r="K31" s="29" t="str">
        <f t="shared" si="0"/>
        <v>09-2025</v>
      </c>
    </row>
    <row r="32" ht="15" customHeight="1" spans="1:11">
      <c r="A32" t="s">
        <v>574</v>
      </c>
      <c r="B32" s="41">
        <v>45609</v>
      </c>
      <c r="C32" t="s">
        <v>255</v>
      </c>
      <c r="D32" t="s">
        <v>492</v>
      </c>
      <c r="E32" t="s">
        <v>500</v>
      </c>
      <c r="F32" t="s">
        <v>537</v>
      </c>
      <c r="G32" t="s">
        <v>545</v>
      </c>
      <c r="H32" s="27">
        <v>12.5</v>
      </c>
      <c r="I32" s="27">
        <v>1294.71</v>
      </c>
      <c r="J32" s="27">
        <v>1553.65</v>
      </c>
      <c r="K32" s="29" t="str">
        <f t="shared" si="0"/>
        <v>11-2024</v>
      </c>
    </row>
    <row r="33" ht="15" customHeight="1" spans="1:11">
      <c r="A33" t="s">
        <v>575</v>
      </c>
      <c r="B33" s="41">
        <v>45488</v>
      </c>
      <c r="C33" t="s">
        <v>152</v>
      </c>
      <c r="D33" t="s">
        <v>486</v>
      </c>
      <c r="E33" t="s">
        <v>498</v>
      </c>
      <c r="F33" t="s">
        <v>537</v>
      </c>
      <c r="G33" t="s">
        <v>545</v>
      </c>
      <c r="H33" s="27">
        <v>0</v>
      </c>
      <c r="I33" s="27">
        <v>254.1</v>
      </c>
      <c r="J33" s="27">
        <v>304.92</v>
      </c>
      <c r="K33" s="29" t="str">
        <f t="shared" si="0"/>
        <v>07-2024</v>
      </c>
    </row>
    <row r="34" ht="15" customHeight="1" spans="1:11">
      <c r="A34" t="s">
        <v>576</v>
      </c>
      <c r="B34" s="41">
        <v>45740</v>
      </c>
      <c r="C34" t="s">
        <v>66</v>
      </c>
      <c r="D34" t="s">
        <v>492</v>
      </c>
      <c r="E34" t="s">
        <v>500</v>
      </c>
      <c r="F34" t="s">
        <v>537</v>
      </c>
      <c r="G34" t="s">
        <v>538</v>
      </c>
      <c r="H34" s="27">
        <v>12.5</v>
      </c>
      <c r="I34" s="27">
        <v>181.72</v>
      </c>
      <c r="J34" s="27">
        <v>218.06</v>
      </c>
      <c r="K34" s="29" t="str">
        <f t="shared" si="0"/>
        <v>03-2025</v>
      </c>
    </row>
    <row r="35" ht="15" customHeight="1" spans="1:11">
      <c r="A35" t="s">
        <v>577</v>
      </c>
      <c r="B35" s="41">
        <v>45772</v>
      </c>
      <c r="C35" t="s">
        <v>347</v>
      </c>
      <c r="D35" t="s">
        <v>488</v>
      </c>
      <c r="E35" t="s">
        <v>500</v>
      </c>
      <c r="F35" t="s">
        <v>537</v>
      </c>
      <c r="G35" t="s">
        <v>557</v>
      </c>
      <c r="H35" s="27">
        <v>12.5</v>
      </c>
      <c r="I35" s="27">
        <v>633.87</v>
      </c>
      <c r="J35" s="27">
        <v>760.64</v>
      </c>
      <c r="K35" s="29" t="str">
        <f t="shared" si="0"/>
        <v>04-2025</v>
      </c>
    </row>
    <row r="36" ht="15" customHeight="1" spans="1:11">
      <c r="A36" t="s">
        <v>578</v>
      </c>
      <c r="B36" s="41">
        <v>45345</v>
      </c>
      <c r="C36" t="s">
        <v>278</v>
      </c>
      <c r="D36" t="s">
        <v>493</v>
      </c>
      <c r="E36" t="s">
        <v>500</v>
      </c>
      <c r="F36" t="s">
        <v>537</v>
      </c>
      <c r="G36" t="s">
        <v>545</v>
      </c>
      <c r="H36" s="27">
        <v>0</v>
      </c>
      <c r="I36" s="27">
        <v>38.69</v>
      </c>
      <c r="J36" s="27">
        <v>46.43</v>
      </c>
      <c r="K36" s="29" t="str">
        <f t="shared" si="0"/>
        <v>02-2024</v>
      </c>
    </row>
    <row r="37" ht="15" customHeight="1" spans="1:11">
      <c r="A37" t="s">
        <v>579</v>
      </c>
      <c r="B37" s="41">
        <v>45817</v>
      </c>
      <c r="C37" t="s">
        <v>118</v>
      </c>
      <c r="D37" t="s">
        <v>492</v>
      </c>
      <c r="E37" t="s">
        <v>501</v>
      </c>
      <c r="F37" t="s">
        <v>547</v>
      </c>
      <c r="G37" t="s">
        <v>538</v>
      </c>
      <c r="H37" s="27">
        <v>12.5</v>
      </c>
      <c r="I37" s="27">
        <v>1658.45</v>
      </c>
      <c r="J37" s="27">
        <v>1990.14</v>
      </c>
      <c r="K37" s="29" t="str">
        <f t="shared" si="0"/>
        <v>06-2025</v>
      </c>
    </row>
    <row r="38" ht="15" customHeight="1" spans="1:11">
      <c r="A38" t="s">
        <v>580</v>
      </c>
      <c r="B38" s="41">
        <v>45957</v>
      </c>
      <c r="C38" t="s">
        <v>190</v>
      </c>
      <c r="D38" t="s">
        <v>486</v>
      </c>
      <c r="E38" t="s">
        <v>498</v>
      </c>
      <c r="F38" t="s">
        <v>537</v>
      </c>
      <c r="G38" t="s">
        <v>557</v>
      </c>
      <c r="H38" s="27">
        <v>4.9</v>
      </c>
      <c r="I38" s="27">
        <v>582.36</v>
      </c>
      <c r="J38" s="27">
        <v>698.83</v>
      </c>
      <c r="K38" s="29" t="str">
        <f t="shared" si="0"/>
        <v>10-2025</v>
      </c>
    </row>
    <row r="39" ht="15" customHeight="1" spans="1:11">
      <c r="A39" t="s">
        <v>581</v>
      </c>
      <c r="B39" s="41">
        <v>45915</v>
      </c>
      <c r="C39" t="s">
        <v>247</v>
      </c>
      <c r="D39" t="s">
        <v>492</v>
      </c>
      <c r="E39" t="s">
        <v>501</v>
      </c>
      <c r="F39" t="s">
        <v>537</v>
      </c>
      <c r="G39" t="s">
        <v>538</v>
      </c>
      <c r="H39" s="27">
        <v>7.9</v>
      </c>
      <c r="I39" s="27">
        <v>34.98</v>
      </c>
      <c r="J39" s="27">
        <v>41.98</v>
      </c>
      <c r="K39" s="29" t="str">
        <f t="shared" si="0"/>
        <v>09-2025</v>
      </c>
    </row>
    <row r="40" ht="15" customHeight="1" spans="1:11">
      <c r="A40" t="s">
        <v>582</v>
      </c>
      <c r="B40" s="41">
        <v>45760</v>
      </c>
      <c r="C40" t="s">
        <v>82</v>
      </c>
      <c r="D40" t="s">
        <v>484</v>
      </c>
      <c r="E40" t="s">
        <v>499</v>
      </c>
      <c r="F40" t="s">
        <v>537</v>
      </c>
      <c r="G40" t="s">
        <v>545</v>
      </c>
      <c r="H40" s="27">
        <v>4.9</v>
      </c>
      <c r="I40" s="27">
        <v>647.74</v>
      </c>
      <c r="J40" s="27">
        <v>777.29</v>
      </c>
      <c r="K40" s="29" t="str">
        <f t="shared" si="0"/>
        <v>04-2025</v>
      </c>
    </row>
    <row r="41" ht="15" customHeight="1" spans="1:11">
      <c r="A41" t="s">
        <v>583</v>
      </c>
      <c r="B41" s="41">
        <v>45828</v>
      </c>
      <c r="C41" t="s">
        <v>200</v>
      </c>
      <c r="D41" t="s">
        <v>484</v>
      </c>
      <c r="E41" t="s">
        <v>501</v>
      </c>
      <c r="F41" t="s">
        <v>537</v>
      </c>
      <c r="G41" t="s">
        <v>557</v>
      </c>
      <c r="H41" s="27">
        <v>0</v>
      </c>
      <c r="I41" s="27">
        <v>379.8</v>
      </c>
      <c r="J41" s="27">
        <v>455.76</v>
      </c>
      <c r="K41" s="29" t="str">
        <f t="shared" si="0"/>
        <v>06-2025</v>
      </c>
    </row>
    <row r="42" ht="15" customHeight="1" spans="1:11">
      <c r="A42" t="s">
        <v>584</v>
      </c>
      <c r="B42" s="41">
        <v>45538</v>
      </c>
      <c r="C42" t="s">
        <v>301</v>
      </c>
      <c r="D42" t="s">
        <v>484</v>
      </c>
      <c r="E42" t="s">
        <v>500</v>
      </c>
      <c r="F42" t="s">
        <v>537</v>
      </c>
      <c r="G42" t="s">
        <v>540</v>
      </c>
      <c r="H42" s="27">
        <v>7.9</v>
      </c>
      <c r="I42" s="27">
        <v>1197.74</v>
      </c>
      <c r="J42" s="27">
        <v>1437.29</v>
      </c>
      <c r="K42" s="29" t="str">
        <f t="shared" si="0"/>
        <v>09-2024</v>
      </c>
    </row>
    <row r="43" ht="15" customHeight="1" spans="1:11">
      <c r="A43" t="s">
        <v>585</v>
      </c>
      <c r="B43" s="41">
        <v>45356</v>
      </c>
      <c r="C43" t="s">
        <v>297</v>
      </c>
      <c r="D43" t="s">
        <v>493</v>
      </c>
      <c r="E43" t="s">
        <v>501</v>
      </c>
      <c r="F43" t="s">
        <v>537</v>
      </c>
      <c r="G43" t="s">
        <v>545</v>
      </c>
      <c r="H43" s="27">
        <v>4.9</v>
      </c>
      <c r="I43" s="27">
        <v>1224.34</v>
      </c>
      <c r="J43" s="27">
        <v>1469.21</v>
      </c>
      <c r="K43" s="29" t="str">
        <f t="shared" si="0"/>
        <v>03-2024</v>
      </c>
    </row>
    <row r="44" ht="15" customHeight="1" spans="1:11">
      <c r="A44" t="s">
        <v>586</v>
      </c>
      <c r="B44" s="41">
        <v>45963</v>
      </c>
      <c r="C44" t="s">
        <v>190</v>
      </c>
      <c r="D44" t="s">
        <v>489</v>
      </c>
      <c r="E44" t="s">
        <v>501</v>
      </c>
      <c r="F44" t="s">
        <v>537</v>
      </c>
      <c r="G44" t="s">
        <v>557</v>
      </c>
      <c r="H44" s="27">
        <v>12.5</v>
      </c>
      <c r="I44" s="27">
        <v>1025.05</v>
      </c>
      <c r="J44" s="27">
        <v>1230.06</v>
      </c>
      <c r="K44" s="29" t="str">
        <f t="shared" si="0"/>
        <v>11-2025</v>
      </c>
    </row>
    <row r="45" ht="15" customHeight="1" spans="1:11">
      <c r="A45" t="s">
        <v>587</v>
      </c>
      <c r="B45" s="41">
        <v>45726</v>
      </c>
      <c r="C45" t="s">
        <v>90</v>
      </c>
      <c r="D45" t="s">
        <v>492</v>
      </c>
      <c r="E45" t="s">
        <v>498</v>
      </c>
      <c r="F45" t="s">
        <v>537</v>
      </c>
      <c r="G45" t="s">
        <v>540</v>
      </c>
      <c r="H45" s="27">
        <v>0</v>
      </c>
      <c r="I45" s="27">
        <v>56.84</v>
      </c>
      <c r="J45" s="27">
        <v>68.21</v>
      </c>
      <c r="K45" s="29" t="str">
        <f t="shared" si="0"/>
        <v>03-2025</v>
      </c>
    </row>
    <row r="46" ht="15" customHeight="1" spans="1:11">
      <c r="A46" t="s">
        <v>588</v>
      </c>
      <c r="B46" s="41">
        <v>45909</v>
      </c>
      <c r="C46" t="s">
        <v>297</v>
      </c>
      <c r="D46" t="s">
        <v>492</v>
      </c>
      <c r="E46" t="s">
        <v>498</v>
      </c>
      <c r="F46" t="s">
        <v>537</v>
      </c>
      <c r="G46" t="s">
        <v>540</v>
      </c>
      <c r="H46" s="27">
        <v>12.5</v>
      </c>
      <c r="I46" s="27">
        <v>203.15</v>
      </c>
      <c r="J46" s="27">
        <v>243.78</v>
      </c>
      <c r="K46" s="29" t="str">
        <f t="shared" si="0"/>
        <v>09-2025</v>
      </c>
    </row>
    <row r="47" ht="15" customHeight="1" spans="1:11">
      <c r="A47" t="s">
        <v>589</v>
      </c>
      <c r="B47" s="41">
        <v>45573</v>
      </c>
      <c r="C47" t="s">
        <v>276</v>
      </c>
      <c r="D47" t="s">
        <v>482</v>
      </c>
      <c r="E47" t="s">
        <v>501</v>
      </c>
      <c r="F47" t="s">
        <v>537</v>
      </c>
      <c r="G47" t="s">
        <v>557</v>
      </c>
      <c r="H47" s="27">
        <v>7.9</v>
      </c>
      <c r="I47" s="27">
        <v>431.79</v>
      </c>
      <c r="J47" s="27">
        <v>518.15</v>
      </c>
      <c r="K47" s="29" t="str">
        <f t="shared" si="0"/>
        <v>10-2024</v>
      </c>
    </row>
    <row r="48" ht="15" customHeight="1" spans="1:11">
      <c r="A48" t="s">
        <v>590</v>
      </c>
      <c r="B48" s="41">
        <v>45740</v>
      </c>
      <c r="C48" t="s">
        <v>59</v>
      </c>
      <c r="D48" t="s">
        <v>486</v>
      </c>
      <c r="E48" t="s">
        <v>501</v>
      </c>
      <c r="F48" t="s">
        <v>537</v>
      </c>
      <c r="G48" t="s">
        <v>540</v>
      </c>
      <c r="H48" s="27">
        <v>7.9</v>
      </c>
      <c r="I48" s="27">
        <v>624.35</v>
      </c>
      <c r="J48" s="27">
        <v>749.22</v>
      </c>
      <c r="K48" s="29" t="str">
        <f t="shared" si="0"/>
        <v>03-2025</v>
      </c>
    </row>
    <row r="49" ht="15" customHeight="1" spans="1:11">
      <c r="A49" t="s">
        <v>591</v>
      </c>
      <c r="B49" s="41">
        <v>45672</v>
      </c>
      <c r="C49" t="s">
        <v>223</v>
      </c>
      <c r="D49" t="s">
        <v>484</v>
      </c>
      <c r="E49" t="s">
        <v>498</v>
      </c>
      <c r="F49" t="s">
        <v>537</v>
      </c>
      <c r="G49" t="s">
        <v>557</v>
      </c>
      <c r="H49" s="27">
        <v>7.9</v>
      </c>
      <c r="I49" s="27">
        <v>280.87</v>
      </c>
      <c r="J49" s="27">
        <v>337.04</v>
      </c>
      <c r="K49" s="29" t="str">
        <f t="shared" si="0"/>
        <v>01-2025</v>
      </c>
    </row>
    <row r="50" ht="15" customHeight="1" spans="1:11">
      <c r="A50" t="s">
        <v>592</v>
      </c>
      <c r="B50" s="41">
        <v>45688</v>
      </c>
      <c r="C50" t="s">
        <v>349</v>
      </c>
      <c r="D50" t="s">
        <v>494</v>
      </c>
      <c r="E50" t="s">
        <v>501</v>
      </c>
      <c r="F50" t="s">
        <v>537</v>
      </c>
      <c r="G50" t="s">
        <v>540</v>
      </c>
      <c r="H50" s="27">
        <v>12.5</v>
      </c>
      <c r="I50" s="27">
        <v>369.57</v>
      </c>
      <c r="J50" s="27">
        <v>443.48</v>
      </c>
      <c r="K50" s="29" t="str">
        <f t="shared" si="0"/>
        <v>01-2025</v>
      </c>
    </row>
    <row r="51" ht="15" customHeight="1" spans="1:11">
      <c r="A51" t="s">
        <v>593</v>
      </c>
      <c r="B51" s="41">
        <v>45496</v>
      </c>
      <c r="C51" t="s">
        <v>108</v>
      </c>
      <c r="D51" t="s">
        <v>486</v>
      </c>
      <c r="E51" t="s">
        <v>501</v>
      </c>
      <c r="F51" t="s">
        <v>537</v>
      </c>
      <c r="G51" t="s">
        <v>557</v>
      </c>
      <c r="H51" s="27">
        <v>0</v>
      </c>
      <c r="I51" s="27">
        <v>666.55</v>
      </c>
      <c r="J51" s="27">
        <v>799.86</v>
      </c>
      <c r="K51" s="29" t="str">
        <f t="shared" si="0"/>
        <v>07-2024</v>
      </c>
    </row>
    <row r="52" ht="15" customHeight="1" spans="1:11">
      <c r="A52" t="s">
        <v>594</v>
      </c>
      <c r="B52" s="41">
        <v>46018</v>
      </c>
      <c r="C52" t="s">
        <v>353</v>
      </c>
      <c r="D52" t="s">
        <v>486</v>
      </c>
      <c r="E52" t="s">
        <v>500</v>
      </c>
      <c r="F52" t="s">
        <v>537</v>
      </c>
      <c r="G52" t="s">
        <v>545</v>
      </c>
      <c r="H52" s="27">
        <v>4.9</v>
      </c>
      <c r="I52" s="27">
        <v>409.71</v>
      </c>
      <c r="J52" s="27">
        <v>491.65</v>
      </c>
      <c r="K52" s="29" t="str">
        <f t="shared" si="0"/>
        <v>12-2025</v>
      </c>
    </row>
    <row r="53" ht="15" customHeight="1" spans="1:11">
      <c r="A53" t="s">
        <v>595</v>
      </c>
      <c r="B53" s="41">
        <v>45424</v>
      </c>
      <c r="C53" t="s">
        <v>269</v>
      </c>
      <c r="D53" t="s">
        <v>484</v>
      </c>
      <c r="E53" t="s">
        <v>501</v>
      </c>
      <c r="F53" t="s">
        <v>537</v>
      </c>
      <c r="G53" t="s">
        <v>557</v>
      </c>
      <c r="H53" s="27">
        <v>12.5</v>
      </c>
      <c r="I53" s="27">
        <v>769.23</v>
      </c>
      <c r="J53" s="27">
        <v>923.08</v>
      </c>
      <c r="K53" s="29" t="str">
        <f t="shared" si="0"/>
        <v>05-2024</v>
      </c>
    </row>
    <row r="54" ht="15" customHeight="1" spans="1:11">
      <c r="A54" t="s">
        <v>596</v>
      </c>
      <c r="B54" s="41">
        <v>45856</v>
      </c>
      <c r="C54" t="s">
        <v>276</v>
      </c>
      <c r="D54" t="s">
        <v>495</v>
      </c>
      <c r="E54" t="s">
        <v>498</v>
      </c>
      <c r="F54" t="s">
        <v>537</v>
      </c>
      <c r="G54" t="s">
        <v>538</v>
      </c>
      <c r="H54" s="27">
        <v>12.5</v>
      </c>
      <c r="I54" s="27">
        <v>829.84</v>
      </c>
      <c r="J54" s="27">
        <v>995.81</v>
      </c>
      <c r="K54" s="29" t="str">
        <f t="shared" si="0"/>
        <v>07-2025</v>
      </c>
    </row>
    <row r="55" ht="15" customHeight="1" spans="1:11">
      <c r="A55" t="s">
        <v>597</v>
      </c>
      <c r="B55" s="41">
        <v>45622</v>
      </c>
      <c r="C55" t="s">
        <v>355</v>
      </c>
      <c r="D55" t="s">
        <v>488</v>
      </c>
      <c r="E55" t="s">
        <v>500</v>
      </c>
      <c r="F55" t="s">
        <v>547</v>
      </c>
      <c r="G55" t="s">
        <v>540</v>
      </c>
      <c r="H55" s="27">
        <v>0</v>
      </c>
      <c r="I55" s="27">
        <v>310.65</v>
      </c>
      <c r="J55" s="27">
        <v>372.78</v>
      </c>
      <c r="K55" s="29" t="str">
        <f t="shared" si="0"/>
        <v>11-2024</v>
      </c>
    </row>
    <row r="56" ht="15" customHeight="1" spans="1:11">
      <c r="A56" t="s">
        <v>598</v>
      </c>
      <c r="B56" s="41">
        <v>45420</v>
      </c>
      <c r="C56" t="s">
        <v>274</v>
      </c>
      <c r="D56" t="s">
        <v>489</v>
      </c>
      <c r="E56" t="s">
        <v>501</v>
      </c>
      <c r="F56" t="s">
        <v>537</v>
      </c>
      <c r="G56" t="s">
        <v>538</v>
      </c>
      <c r="H56" s="27">
        <v>4.9</v>
      </c>
      <c r="I56" s="27">
        <v>1019.72</v>
      </c>
      <c r="J56" s="27">
        <v>1223.66</v>
      </c>
      <c r="K56" s="29" t="str">
        <f t="shared" si="0"/>
        <v>05-2024</v>
      </c>
    </row>
    <row r="57" ht="15" customHeight="1" spans="1:11">
      <c r="A57" t="s">
        <v>599</v>
      </c>
      <c r="B57" s="41">
        <v>45637</v>
      </c>
      <c r="C57" t="s">
        <v>330</v>
      </c>
      <c r="D57" t="s">
        <v>495</v>
      </c>
      <c r="E57" t="s">
        <v>501</v>
      </c>
      <c r="F57" t="s">
        <v>537</v>
      </c>
      <c r="G57" t="s">
        <v>545</v>
      </c>
      <c r="H57" s="27">
        <v>0</v>
      </c>
      <c r="I57" s="27">
        <v>212.4</v>
      </c>
      <c r="J57" s="27">
        <v>254.88</v>
      </c>
      <c r="K57" s="29" t="str">
        <f t="shared" si="0"/>
        <v>12-2024</v>
      </c>
    </row>
    <row r="58" ht="15" customHeight="1" spans="1:11">
      <c r="A58" t="s">
        <v>600</v>
      </c>
      <c r="B58" s="41">
        <v>45958</v>
      </c>
      <c r="C58" t="s">
        <v>145</v>
      </c>
      <c r="D58" t="s">
        <v>495</v>
      </c>
      <c r="E58" t="s">
        <v>499</v>
      </c>
      <c r="F58" t="s">
        <v>537</v>
      </c>
      <c r="G58" t="s">
        <v>545</v>
      </c>
      <c r="H58" s="27">
        <v>12.5</v>
      </c>
      <c r="I58" s="27">
        <v>755.82</v>
      </c>
      <c r="J58" s="27">
        <v>906.98</v>
      </c>
      <c r="K58" s="29" t="str">
        <f t="shared" si="0"/>
        <v>10-2025</v>
      </c>
    </row>
    <row r="59" ht="15" customHeight="1" spans="1:11">
      <c r="A59" t="s">
        <v>601</v>
      </c>
      <c r="B59" s="41">
        <v>45717</v>
      </c>
      <c r="C59" t="s">
        <v>234</v>
      </c>
      <c r="D59" t="s">
        <v>493</v>
      </c>
      <c r="E59" t="s">
        <v>498</v>
      </c>
      <c r="F59" t="s">
        <v>537</v>
      </c>
      <c r="G59" t="s">
        <v>538</v>
      </c>
      <c r="H59" s="27">
        <v>7.9</v>
      </c>
      <c r="I59" s="27">
        <v>1078.72</v>
      </c>
      <c r="J59" s="27">
        <v>1294.46</v>
      </c>
      <c r="K59" s="29" t="str">
        <f t="shared" si="0"/>
        <v>03-2025</v>
      </c>
    </row>
    <row r="60" ht="15" customHeight="1" spans="1:11">
      <c r="A60" t="s">
        <v>602</v>
      </c>
      <c r="B60" s="41">
        <v>45752</v>
      </c>
      <c r="C60" t="s">
        <v>160</v>
      </c>
      <c r="D60" t="s">
        <v>486</v>
      </c>
      <c r="E60" t="s">
        <v>501</v>
      </c>
      <c r="F60" t="s">
        <v>537</v>
      </c>
      <c r="G60" t="s">
        <v>557</v>
      </c>
      <c r="H60" s="27">
        <v>12.5</v>
      </c>
      <c r="I60" s="27">
        <v>542.19</v>
      </c>
      <c r="J60" s="27">
        <v>650.63</v>
      </c>
      <c r="K60" s="29" t="str">
        <f t="shared" si="0"/>
        <v>04-2025</v>
      </c>
    </row>
    <row r="61" ht="15" customHeight="1" spans="1:11">
      <c r="A61" t="s">
        <v>603</v>
      </c>
      <c r="B61" s="41">
        <v>45612</v>
      </c>
      <c r="C61" t="s">
        <v>139</v>
      </c>
      <c r="D61" t="s">
        <v>486</v>
      </c>
      <c r="E61" t="s">
        <v>499</v>
      </c>
      <c r="F61" t="s">
        <v>550</v>
      </c>
      <c r="G61" t="s">
        <v>557</v>
      </c>
      <c r="H61" s="27">
        <v>12.5</v>
      </c>
      <c r="I61" s="27">
        <v>1958.81</v>
      </c>
      <c r="J61" s="27">
        <v>2350.57</v>
      </c>
      <c r="K61" s="29" t="str">
        <f t="shared" si="0"/>
        <v>11-2024</v>
      </c>
    </row>
    <row r="62" ht="15" customHeight="1" spans="1:11">
      <c r="A62" t="s">
        <v>604</v>
      </c>
      <c r="B62" s="41">
        <v>45961</v>
      </c>
      <c r="C62" t="s">
        <v>286</v>
      </c>
      <c r="D62" t="s">
        <v>493</v>
      </c>
      <c r="E62" t="s">
        <v>500</v>
      </c>
      <c r="F62" t="s">
        <v>537</v>
      </c>
      <c r="G62" t="s">
        <v>545</v>
      </c>
      <c r="H62" s="27">
        <v>12.5</v>
      </c>
      <c r="I62" s="27">
        <v>66.25</v>
      </c>
      <c r="J62" s="27">
        <v>79.5</v>
      </c>
      <c r="K62" s="29" t="str">
        <f t="shared" si="0"/>
        <v>10-2025</v>
      </c>
    </row>
    <row r="63" ht="15" customHeight="1" spans="1:11">
      <c r="A63" t="s">
        <v>605</v>
      </c>
      <c r="B63" s="41">
        <v>45666</v>
      </c>
      <c r="C63" t="s">
        <v>66</v>
      </c>
      <c r="D63" t="s">
        <v>492</v>
      </c>
      <c r="E63" t="s">
        <v>501</v>
      </c>
      <c r="F63" t="s">
        <v>537</v>
      </c>
      <c r="G63" t="s">
        <v>538</v>
      </c>
      <c r="H63" s="27">
        <v>7.9</v>
      </c>
      <c r="I63" s="27">
        <v>161.9</v>
      </c>
      <c r="J63" s="27">
        <v>194.28</v>
      </c>
      <c r="K63" s="29" t="str">
        <f t="shared" si="0"/>
        <v>01-2025</v>
      </c>
    </row>
    <row r="64" ht="15" customHeight="1" spans="1:11">
      <c r="A64" t="s">
        <v>606</v>
      </c>
      <c r="B64" s="41">
        <v>45988</v>
      </c>
      <c r="C64" t="s">
        <v>269</v>
      </c>
      <c r="D64" t="s">
        <v>484</v>
      </c>
      <c r="E64" t="s">
        <v>498</v>
      </c>
      <c r="F64" t="s">
        <v>542</v>
      </c>
      <c r="G64" t="s">
        <v>557</v>
      </c>
      <c r="H64" s="27">
        <v>7.9</v>
      </c>
      <c r="I64" s="27">
        <v>555.48</v>
      </c>
      <c r="J64" s="27">
        <v>666.58</v>
      </c>
      <c r="K64" s="29" t="str">
        <f t="shared" si="0"/>
        <v>11-2025</v>
      </c>
    </row>
    <row r="65" ht="15" customHeight="1" spans="1:11">
      <c r="A65" t="s">
        <v>607</v>
      </c>
      <c r="B65" s="41">
        <v>45338</v>
      </c>
      <c r="C65" t="s">
        <v>59</v>
      </c>
      <c r="D65" t="s">
        <v>486</v>
      </c>
      <c r="E65" t="s">
        <v>500</v>
      </c>
      <c r="F65" t="s">
        <v>537</v>
      </c>
      <c r="G65" t="s">
        <v>557</v>
      </c>
      <c r="H65" s="27">
        <v>4.9</v>
      </c>
      <c r="I65" s="27">
        <v>414.67</v>
      </c>
      <c r="J65" s="27">
        <v>497.6</v>
      </c>
      <c r="K65" s="29" t="str">
        <f t="shared" si="0"/>
        <v>02-2024</v>
      </c>
    </row>
    <row r="66" ht="15" customHeight="1" spans="1:11">
      <c r="A66" t="s">
        <v>608</v>
      </c>
      <c r="B66" s="41">
        <v>45598</v>
      </c>
      <c r="C66" t="s">
        <v>263</v>
      </c>
      <c r="D66" t="s">
        <v>491</v>
      </c>
      <c r="E66" t="s">
        <v>499</v>
      </c>
      <c r="F66" t="s">
        <v>537</v>
      </c>
      <c r="G66" t="s">
        <v>540</v>
      </c>
      <c r="H66" s="27">
        <v>12.5</v>
      </c>
      <c r="I66" s="27">
        <v>213.69</v>
      </c>
      <c r="J66" s="27">
        <v>256.43</v>
      </c>
      <c r="K66" s="29" t="str">
        <f t="shared" si="0"/>
        <v>11-2024</v>
      </c>
    </row>
    <row r="67" ht="15" customHeight="1" spans="1:11">
      <c r="A67" t="s">
        <v>609</v>
      </c>
      <c r="B67" s="41">
        <v>45777</v>
      </c>
      <c r="C67" t="s">
        <v>168</v>
      </c>
      <c r="D67" t="s">
        <v>495</v>
      </c>
      <c r="E67" t="s">
        <v>498</v>
      </c>
      <c r="F67" t="s">
        <v>537</v>
      </c>
      <c r="G67" t="s">
        <v>557</v>
      </c>
      <c r="H67" s="27">
        <v>4.9</v>
      </c>
      <c r="I67" s="27">
        <v>477.64</v>
      </c>
      <c r="J67" s="27">
        <v>573.17</v>
      </c>
      <c r="K67" s="29" t="str">
        <f t="shared" ref="K67:K130" si="1">TEXT(B67,"mm-yyyy")</f>
        <v>04-2025</v>
      </c>
    </row>
    <row r="68" ht="15" customHeight="1" spans="1:11">
      <c r="A68" t="s">
        <v>610</v>
      </c>
      <c r="B68" s="41">
        <v>45324</v>
      </c>
      <c r="C68" t="s">
        <v>259</v>
      </c>
      <c r="D68" t="s">
        <v>484</v>
      </c>
      <c r="E68" t="s">
        <v>498</v>
      </c>
      <c r="F68" t="s">
        <v>537</v>
      </c>
      <c r="G68" t="s">
        <v>540</v>
      </c>
      <c r="H68" s="27">
        <v>12.5</v>
      </c>
      <c r="I68" s="27">
        <v>52.24</v>
      </c>
      <c r="J68" s="27">
        <v>62.69</v>
      </c>
      <c r="K68" s="29" t="str">
        <f t="shared" si="1"/>
        <v>02-2024</v>
      </c>
    </row>
    <row r="69" ht="15" customHeight="1" spans="1:11">
      <c r="A69" t="s">
        <v>611</v>
      </c>
      <c r="B69" s="41">
        <v>45918</v>
      </c>
      <c r="C69" t="s">
        <v>351</v>
      </c>
      <c r="D69" t="s">
        <v>493</v>
      </c>
      <c r="E69" t="s">
        <v>501</v>
      </c>
      <c r="F69" t="s">
        <v>537</v>
      </c>
      <c r="G69" t="s">
        <v>538</v>
      </c>
      <c r="H69" s="27">
        <v>7.9</v>
      </c>
      <c r="I69" s="27">
        <v>1395.57</v>
      </c>
      <c r="J69" s="27">
        <v>1674.68</v>
      </c>
      <c r="K69" s="29" t="str">
        <f t="shared" si="1"/>
        <v>09-2025</v>
      </c>
    </row>
    <row r="70" ht="15" customHeight="1" spans="1:11">
      <c r="A70" t="s">
        <v>612</v>
      </c>
      <c r="B70" s="41">
        <v>45916</v>
      </c>
      <c r="C70" t="s">
        <v>234</v>
      </c>
      <c r="D70" t="s">
        <v>488</v>
      </c>
      <c r="E70" t="s">
        <v>498</v>
      </c>
      <c r="F70" t="s">
        <v>537</v>
      </c>
      <c r="G70" t="s">
        <v>540</v>
      </c>
      <c r="H70" s="27">
        <v>4.9</v>
      </c>
      <c r="I70" s="27">
        <v>1064.95</v>
      </c>
      <c r="J70" s="27">
        <v>1277.94</v>
      </c>
      <c r="K70" s="29" t="str">
        <f t="shared" si="1"/>
        <v>09-2025</v>
      </c>
    </row>
    <row r="71" ht="15" customHeight="1" spans="1:11">
      <c r="A71" t="s">
        <v>613</v>
      </c>
      <c r="B71" s="41">
        <v>45879</v>
      </c>
      <c r="C71" t="s">
        <v>286</v>
      </c>
      <c r="D71" t="s">
        <v>494</v>
      </c>
      <c r="E71" t="s">
        <v>499</v>
      </c>
      <c r="F71" t="s">
        <v>537</v>
      </c>
      <c r="G71" t="s">
        <v>557</v>
      </c>
      <c r="H71" s="27">
        <v>7.9</v>
      </c>
      <c r="I71" s="27">
        <v>639.08</v>
      </c>
      <c r="J71" s="27">
        <v>766.9</v>
      </c>
      <c r="K71" s="29" t="str">
        <f t="shared" si="1"/>
        <v>08-2025</v>
      </c>
    </row>
    <row r="72" ht="15" customHeight="1" spans="1:11">
      <c r="A72" t="s">
        <v>614</v>
      </c>
      <c r="B72" s="41">
        <v>45570</v>
      </c>
      <c r="C72" t="s">
        <v>114</v>
      </c>
      <c r="D72" t="s">
        <v>484</v>
      </c>
      <c r="E72" t="s">
        <v>498</v>
      </c>
      <c r="F72" t="s">
        <v>537</v>
      </c>
      <c r="G72" t="s">
        <v>538</v>
      </c>
      <c r="H72" s="27">
        <v>4.9</v>
      </c>
      <c r="I72" s="27">
        <v>28.89</v>
      </c>
      <c r="J72" s="27">
        <v>34.67</v>
      </c>
      <c r="K72" s="29" t="str">
        <f t="shared" si="1"/>
        <v>10-2024</v>
      </c>
    </row>
    <row r="73" ht="15" customHeight="1" spans="1:11">
      <c r="A73" t="s">
        <v>615</v>
      </c>
      <c r="B73" s="41">
        <v>45394</v>
      </c>
      <c r="C73" t="s">
        <v>288</v>
      </c>
      <c r="D73" t="s">
        <v>486</v>
      </c>
      <c r="E73" t="s">
        <v>501</v>
      </c>
      <c r="F73" t="s">
        <v>542</v>
      </c>
      <c r="G73" t="s">
        <v>538</v>
      </c>
      <c r="H73" s="27">
        <v>12.5</v>
      </c>
      <c r="I73" s="27">
        <v>1076.88</v>
      </c>
      <c r="J73" s="27">
        <v>1292.26</v>
      </c>
      <c r="K73" s="29" t="str">
        <f t="shared" si="1"/>
        <v>04-2024</v>
      </c>
    </row>
    <row r="74" ht="15" customHeight="1" spans="1:11">
      <c r="A74" t="s">
        <v>616</v>
      </c>
      <c r="B74" s="41">
        <v>45959</v>
      </c>
      <c r="C74" t="s">
        <v>259</v>
      </c>
      <c r="D74" t="s">
        <v>488</v>
      </c>
      <c r="E74" t="s">
        <v>501</v>
      </c>
      <c r="F74" t="s">
        <v>547</v>
      </c>
      <c r="G74" t="s">
        <v>538</v>
      </c>
      <c r="H74" s="27">
        <v>12.5</v>
      </c>
      <c r="I74" s="27">
        <v>1730.67</v>
      </c>
      <c r="J74" s="27">
        <v>2076.8</v>
      </c>
      <c r="K74" s="29" t="str">
        <f t="shared" si="1"/>
        <v>10-2025</v>
      </c>
    </row>
    <row r="75" ht="15" customHeight="1" spans="1:11">
      <c r="A75" t="s">
        <v>617</v>
      </c>
      <c r="B75" s="41">
        <v>45909</v>
      </c>
      <c r="C75" t="s">
        <v>102</v>
      </c>
      <c r="D75" t="s">
        <v>491</v>
      </c>
      <c r="E75" t="s">
        <v>500</v>
      </c>
      <c r="F75" t="s">
        <v>537</v>
      </c>
      <c r="G75" t="s">
        <v>557</v>
      </c>
      <c r="H75" s="27">
        <v>4.9</v>
      </c>
      <c r="I75" s="27">
        <v>3501.56</v>
      </c>
      <c r="J75" s="27">
        <v>4201.87</v>
      </c>
      <c r="K75" s="29" t="str">
        <f t="shared" si="1"/>
        <v>09-2025</v>
      </c>
    </row>
    <row r="76" ht="15" customHeight="1" spans="1:11">
      <c r="A76" t="s">
        <v>618</v>
      </c>
      <c r="B76" s="41">
        <v>45873</v>
      </c>
      <c r="C76" t="s">
        <v>286</v>
      </c>
      <c r="D76" t="s">
        <v>488</v>
      </c>
      <c r="E76" t="s">
        <v>498</v>
      </c>
      <c r="F76" t="s">
        <v>537</v>
      </c>
      <c r="G76" t="s">
        <v>557</v>
      </c>
      <c r="H76" s="27">
        <v>12.5</v>
      </c>
      <c r="I76" s="27">
        <v>2236.38</v>
      </c>
      <c r="J76" s="27">
        <v>2683.66</v>
      </c>
      <c r="K76" s="29" t="str">
        <f t="shared" si="1"/>
        <v>08-2025</v>
      </c>
    </row>
    <row r="77" ht="15" customHeight="1" spans="1:11">
      <c r="A77" t="s">
        <v>619</v>
      </c>
      <c r="B77" s="41">
        <v>45623</v>
      </c>
      <c r="C77" t="s">
        <v>355</v>
      </c>
      <c r="D77" t="s">
        <v>488</v>
      </c>
      <c r="E77" t="s">
        <v>501</v>
      </c>
      <c r="F77" t="s">
        <v>537</v>
      </c>
      <c r="G77" t="s">
        <v>538</v>
      </c>
      <c r="H77" s="27">
        <v>12.5</v>
      </c>
      <c r="I77" s="27">
        <v>682.8</v>
      </c>
      <c r="J77" s="27">
        <v>819.36</v>
      </c>
      <c r="K77" s="29" t="str">
        <f t="shared" si="1"/>
        <v>11-2024</v>
      </c>
    </row>
    <row r="78" ht="15" customHeight="1" spans="1:11">
      <c r="A78" t="s">
        <v>620</v>
      </c>
      <c r="B78" s="41">
        <v>45975</v>
      </c>
      <c r="C78" t="s">
        <v>108</v>
      </c>
      <c r="D78" t="s">
        <v>493</v>
      </c>
      <c r="E78" t="s">
        <v>500</v>
      </c>
      <c r="F78" t="s">
        <v>537</v>
      </c>
      <c r="G78" t="s">
        <v>540</v>
      </c>
      <c r="H78" s="27">
        <v>0</v>
      </c>
      <c r="I78" s="27">
        <v>233.14</v>
      </c>
      <c r="J78" s="27">
        <v>279.77</v>
      </c>
      <c r="K78" s="29" t="str">
        <f t="shared" si="1"/>
        <v>11-2025</v>
      </c>
    </row>
    <row r="79" ht="15" customHeight="1" spans="1:11">
      <c r="A79" t="s">
        <v>621</v>
      </c>
      <c r="B79" s="41">
        <v>45448</v>
      </c>
      <c r="C79" t="s">
        <v>228</v>
      </c>
      <c r="D79" t="s">
        <v>495</v>
      </c>
      <c r="E79" t="s">
        <v>500</v>
      </c>
      <c r="F79" t="s">
        <v>537</v>
      </c>
      <c r="G79" t="s">
        <v>557</v>
      </c>
      <c r="H79" s="27">
        <v>4.9</v>
      </c>
      <c r="I79" s="27">
        <v>613.26</v>
      </c>
      <c r="J79" s="27">
        <v>735.91</v>
      </c>
      <c r="K79" s="29" t="str">
        <f t="shared" si="1"/>
        <v>06-2024</v>
      </c>
    </row>
    <row r="80" ht="15" customHeight="1" spans="1:11">
      <c r="A80" t="s">
        <v>622</v>
      </c>
      <c r="B80" s="41">
        <v>45406</v>
      </c>
      <c r="C80" t="s">
        <v>77</v>
      </c>
      <c r="D80" t="s">
        <v>494</v>
      </c>
      <c r="E80" t="s">
        <v>498</v>
      </c>
      <c r="F80" t="s">
        <v>537</v>
      </c>
      <c r="G80" t="s">
        <v>538</v>
      </c>
      <c r="H80" s="27">
        <v>4.9</v>
      </c>
      <c r="I80" s="27">
        <v>1258.19</v>
      </c>
      <c r="J80" s="27">
        <v>1509.83</v>
      </c>
      <c r="K80" s="29" t="str">
        <f t="shared" si="1"/>
        <v>04-2024</v>
      </c>
    </row>
    <row r="81" ht="15" customHeight="1" spans="1:11">
      <c r="A81" t="s">
        <v>623</v>
      </c>
      <c r="B81" s="41">
        <v>45385</v>
      </c>
      <c r="C81" t="s">
        <v>347</v>
      </c>
      <c r="D81" t="s">
        <v>494</v>
      </c>
      <c r="E81" t="s">
        <v>499</v>
      </c>
      <c r="F81" t="s">
        <v>537</v>
      </c>
      <c r="G81" t="s">
        <v>557</v>
      </c>
      <c r="H81" s="27">
        <v>4.9</v>
      </c>
      <c r="I81" s="27">
        <v>225.83</v>
      </c>
      <c r="J81" s="27">
        <v>271</v>
      </c>
      <c r="K81" s="29" t="str">
        <f t="shared" si="1"/>
        <v>04-2024</v>
      </c>
    </row>
    <row r="82" ht="15" customHeight="1" spans="1:11">
      <c r="A82" t="s">
        <v>624</v>
      </c>
      <c r="B82" s="41">
        <v>45314</v>
      </c>
      <c r="C82" t="s">
        <v>209</v>
      </c>
      <c r="D82" t="s">
        <v>489</v>
      </c>
      <c r="E82" t="s">
        <v>501</v>
      </c>
      <c r="F82" t="s">
        <v>537</v>
      </c>
      <c r="G82" t="s">
        <v>545</v>
      </c>
      <c r="H82" s="27">
        <v>0</v>
      </c>
      <c r="I82" s="27">
        <v>851.09</v>
      </c>
      <c r="J82" s="27">
        <v>1021.31</v>
      </c>
      <c r="K82" s="29" t="str">
        <f t="shared" si="1"/>
        <v>01-2024</v>
      </c>
    </row>
    <row r="83" ht="15" customHeight="1" spans="1:11">
      <c r="A83" t="s">
        <v>625</v>
      </c>
      <c r="B83" s="41">
        <v>45324</v>
      </c>
      <c r="C83" t="s">
        <v>175</v>
      </c>
      <c r="D83" t="s">
        <v>492</v>
      </c>
      <c r="E83" t="s">
        <v>498</v>
      </c>
      <c r="F83" t="s">
        <v>537</v>
      </c>
      <c r="G83" t="s">
        <v>557</v>
      </c>
      <c r="H83" s="27">
        <v>7.9</v>
      </c>
      <c r="I83" s="27">
        <v>628.5</v>
      </c>
      <c r="J83" s="27">
        <v>754.2</v>
      </c>
      <c r="K83" s="29" t="str">
        <f t="shared" si="1"/>
        <v>02-2024</v>
      </c>
    </row>
    <row r="84" ht="15" customHeight="1" spans="1:11">
      <c r="A84" t="s">
        <v>626</v>
      </c>
      <c r="B84" s="41">
        <v>45520</v>
      </c>
      <c r="C84" t="s">
        <v>328</v>
      </c>
      <c r="D84" t="s">
        <v>482</v>
      </c>
      <c r="E84" t="s">
        <v>501</v>
      </c>
      <c r="F84" t="s">
        <v>542</v>
      </c>
      <c r="G84" t="s">
        <v>557</v>
      </c>
      <c r="H84" s="27">
        <v>12.5</v>
      </c>
      <c r="I84" s="27">
        <v>156.48</v>
      </c>
      <c r="J84" s="27">
        <v>187.78</v>
      </c>
      <c r="K84" s="29" t="str">
        <f t="shared" si="1"/>
        <v>08-2024</v>
      </c>
    </row>
    <row r="85" ht="15" customHeight="1" spans="1:11">
      <c r="A85" t="s">
        <v>627</v>
      </c>
      <c r="B85" s="41">
        <v>45407</v>
      </c>
      <c r="C85" t="s">
        <v>59</v>
      </c>
      <c r="D85" t="s">
        <v>492</v>
      </c>
      <c r="E85" t="s">
        <v>501</v>
      </c>
      <c r="F85" t="s">
        <v>537</v>
      </c>
      <c r="G85" t="s">
        <v>545</v>
      </c>
      <c r="H85" s="27">
        <v>0</v>
      </c>
      <c r="I85" s="27">
        <v>332.72</v>
      </c>
      <c r="J85" s="27">
        <v>399.26</v>
      </c>
      <c r="K85" s="29" t="str">
        <f t="shared" si="1"/>
        <v>04-2024</v>
      </c>
    </row>
    <row r="86" ht="15" customHeight="1" spans="1:11">
      <c r="A86" t="s">
        <v>628</v>
      </c>
      <c r="B86" s="41">
        <v>45703</v>
      </c>
      <c r="C86" t="s">
        <v>223</v>
      </c>
      <c r="D86" t="s">
        <v>488</v>
      </c>
      <c r="E86" t="s">
        <v>498</v>
      </c>
      <c r="F86" t="s">
        <v>537</v>
      </c>
      <c r="G86" t="s">
        <v>545</v>
      </c>
      <c r="H86" s="27">
        <v>4.9</v>
      </c>
      <c r="I86" s="27">
        <v>584.88</v>
      </c>
      <c r="J86" s="27">
        <v>701.86</v>
      </c>
      <c r="K86" s="29" t="str">
        <f t="shared" si="1"/>
        <v>02-2025</v>
      </c>
    </row>
    <row r="87" ht="15" customHeight="1" spans="1:11">
      <c r="A87" t="s">
        <v>629</v>
      </c>
      <c r="B87" s="41">
        <v>45980</v>
      </c>
      <c r="C87" t="s">
        <v>324</v>
      </c>
      <c r="D87" t="s">
        <v>491</v>
      </c>
      <c r="E87" t="s">
        <v>498</v>
      </c>
      <c r="F87" t="s">
        <v>537</v>
      </c>
      <c r="G87" t="s">
        <v>538</v>
      </c>
      <c r="H87" s="27">
        <v>4.9</v>
      </c>
      <c r="I87" s="27">
        <v>144.4</v>
      </c>
      <c r="J87" s="27">
        <v>173.28</v>
      </c>
      <c r="K87" s="29" t="str">
        <f t="shared" si="1"/>
        <v>11-2025</v>
      </c>
    </row>
    <row r="88" ht="15" customHeight="1" spans="1:11">
      <c r="A88" t="s">
        <v>630</v>
      </c>
      <c r="B88" s="41">
        <v>45987</v>
      </c>
      <c r="C88" t="s">
        <v>218</v>
      </c>
      <c r="D88" t="s">
        <v>494</v>
      </c>
      <c r="E88" t="s">
        <v>499</v>
      </c>
      <c r="F88" t="s">
        <v>537</v>
      </c>
      <c r="G88" t="s">
        <v>540</v>
      </c>
      <c r="H88" s="27">
        <v>12.5</v>
      </c>
      <c r="I88" s="27">
        <v>353.61</v>
      </c>
      <c r="J88" s="27">
        <v>424.33</v>
      </c>
      <c r="K88" s="29" t="str">
        <f t="shared" si="1"/>
        <v>11-2025</v>
      </c>
    </row>
    <row r="89" ht="15" customHeight="1" spans="1:11">
      <c r="A89" t="s">
        <v>631</v>
      </c>
      <c r="B89" s="41">
        <v>45522</v>
      </c>
      <c r="C89" t="s">
        <v>181</v>
      </c>
      <c r="D89" t="s">
        <v>486</v>
      </c>
      <c r="E89" t="s">
        <v>499</v>
      </c>
      <c r="F89" t="s">
        <v>547</v>
      </c>
      <c r="G89" t="s">
        <v>557</v>
      </c>
      <c r="H89" s="27">
        <v>12.5</v>
      </c>
      <c r="I89" s="27">
        <v>460.9</v>
      </c>
      <c r="J89" s="27">
        <v>553.08</v>
      </c>
      <c r="K89" s="29" t="str">
        <f t="shared" si="1"/>
        <v>08-2024</v>
      </c>
    </row>
    <row r="90" ht="15" customHeight="1" spans="1:11">
      <c r="A90" t="s">
        <v>632</v>
      </c>
      <c r="B90" s="41">
        <v>45752</v>
      </c>
      <c r="C90" t="s">
        <v>332</v>
      </c>
      <c r="D90" t="s">
        <v>491</v>
      </c>
      <c r="E90" t="s">
        <v>501</v>
      </c>
      <c r="F90" t="s">
        <v>537</v>
      </c>
      <c r="G90" t="s">
        <v>538</v>
      </c>
      <c r="H90" s="27">
        <v>0</v>
      </c>
      <c r="I90" s="27">
        <v>146.04</v>
      </c>
      <c r="J90" s="27">
        <v>175.25</v>
      </c>
      <c r="K90" s="29" t="str">
        <f t="shared" si="1"/>
        <v>04-2025</v>
      </c>
    </row>
    <row r="91" ht="15" customHeight="1" spans="1:11">
      <c r="A91" t="s">
        <v>633</v>
      </c>
      <c r="B91" s="41">
        <v>45366</v>
      </c>
      <c r="C91" t="s">
        <v>139</v>
      </c>
      <c r="D91" t="s">
        <v>495</v>
      </c>
      <c r="E91" t="s">
        <v>498</v>
      </c>
      <c r="F91" t="s">
        <v>537</v>
      </c>
      <c r="G91" t="s">
        <v>540</v>
      </c>
      <c r="H91" s="27">
        <v>7.9</v>
      </c>
      <c r="I91" s="27">
        <v>1979.19</v>
      </c>
      <c r="J91" s="27">
        <v>2375.03</v>
      </c>
      <c r="K91" s="29" t="str">
        <f t="shared" si="1"/>
        <v>03-2024</v>
      </c>
    </row>
    <row r="92" ht="15" customHeight="1" spans="1:11">
      <c r="A92" t="s">
        <v>634</v>
      </c>
      <c r="B92" s="41">
        <v>45681</v>
      </c>
      <c r="C92" t="s">
        <v>230</v>
      </c>
      <c r="D92" t="s">
        <v>494</v>
      </c>
      <c r="E92" t="s">
        <v>500</v>
      </c>
      <c r="F92" t="s">
        <v>537</v>
      </c>
      <c r="G92" t="s">
        <v>540</v>
      </c>
      <c r="H92" s="27">
        <v>12.5</v>
      </c>
      <c r="I92" s="27">
        <v>385.55</v>
      </c>
      <c r="J92" s="27">
        <v>462.66</v>
      </c>
      <c r="K92" s="29" t="str">
        <f t="shared" si="1"/>
        <v>01-2025</v>
      </c>
    </row>
    <row r="93" ht="15" customHeight="1" spans="1:11">
      <c r="A93" t="s">
        <v>635</v>
      </c>
      <c r="B93" s="41">
        <v>45338</v>
      </c>
      <c r="C93" t="s">
        <v>257</v>
      </c>
      <c r="D93" t="s">
        <v>488</v>
      </c>
      <c r="E93" t="s">
        <v>498</v>
      </c>
      <c r="F93" t="s">
        <v>537</v>
      </c>
      <c r="G93" t="s">
        <v>557</v>
      </c>
      <c r="H93" s="27">
        <v>7.9</v>
      </c>
      <c r="I93" s="27">
        <v>61.71</v>
      </c>
      <c r="J93" s="27">
        <v>74.05</v>
      </c>
      <c r="K93" s="29" t="str">
        <f t="shared" si="1"/>
        <v>02-2024</v>
      </c>
    </row>
    <row r="94" ht="15" customHeight="1" spans="1:11">
      <c r="A94" t="s">
        <v>636</v>
      </c>
      <c r="B94" s="41">
        <v>45543</v>
      </c>
      <c r="C94" t="s">
        <v>238</v>
      </c>
      <c r="D94" t="s">
        <v>494</v>
      </c>
      <c r="E94" t="s">
        <v>500</v>
      </c>
      <c r="F94" t="s">
        <v>537</v>
      </c>
      <c r="G94" t="s">
        <v>557</v>
      </c>
      <c r="H94" s="27">
        <v>12.5</v>
      </c>
      <c r="I94" s="27">
        <v>447.68</v>
      </c>
      <c r="J94" s="27">
        <v>537.22</v>
      </c>
      <c r="K94" s="29" t="str">
        <f t="shared" si="1"/>
        <v>09-2024</v>
      </c>
    </row>
    <row r="95" ht="15" customHeight="1" spans="1:11">
      <c r="A95" t="s">
        <v>637</v>
      </c>
      <c r="B95" s="41">
        <v>45480</v>
      </c>
      <c r="C95" t="s">
        <v>351</v>
      </c>
      <c r="D95" t="s">
        <v>494</v>
      </c>
      <c r="E95" t="s">
        <v>501</v>
      </c>
      <c r="F95" t="s">
        <v>537</v>
      </c>
      <c r="G95" t="s">
        <v>545</v>
      </c>
      <c r="H95" s="27">
        <v>0</v>
      </c>
      <c r="I95" s="27">
        <v>1096.49</v>
      </c>
      <c r="J95" s="27">
        <v>1315.79</v>
      </c>
      <c r="K95" s="29" t="str">
        <f t="shared" si="1"/>
        <v>07-2024</v>
      </c>
    </row>
    <row r="96" ht="15" customHeight="1" spans="1:11">
      <c r="A96" t="s">
        <v>638</v>
      </c>
      <c r="B96" s="41">
        <v>45674</v>
      </c>
      <c r="C96" t="s">
        <v>77</v>
      </c>
      <c r="D96" t="s">
        <v>495</v>
      </c>
      <c r="E96" t="s">
        <v>499</v>
      </c>
      <c r="F96" t="s">
        <v>537</v>
      </c>
      <c r="G96" t="s">
        <v>545</v>
      </c>
      <c r="H96" s="27">
        <v>0</v>
      </c>
      <c r="I96" s="27">
        <v>53.44</v>
      </c>
      <c r="J96" s="27">
        <v>64.13</v>
      </c>
      <c r="K96" s="29" t="str">
        <f t="shared" si="1"/>
        <v>01-2025</v>
      </c>
    </row>
    <row r="97" ht="15" customHeight="1" spans="1:11">
      <c r="A97" t="s">
        <v>639</v>
      </c>
      <c r="B97" s="41">
        <v>45309</v>
      </c>
      <c r="C97" t="s">
        <v>241</v>
      </c>
      <c r="D97" t="s">
        <v>492</v>
      </c>
      <c r="E97" t="s">
        <v>498</v>
      </c>
      <c r="F97" t="s">
        <v>537</v>
      </c>
      <c r="G97" t="s">
        <v>545</v>
      </c>
      <c r="H97" s="27">
        <v>4.9</v>
      </c>
      <c r="I97" s="27">
        <v>756.62</v>
      </c>
      <c r="J97" s="27">
        <v>907.94</v>
      </c>
      <c r="K97" s="29" t="str">
        <f t="shared" si="1"/>
        <v>01-2024</v>
      </c>
    </row>
    <row r="98" ht="15" customHeight="1" spans="1:11">
      <c r="A98" t="s">
        <v>640</v>
      </c>
      <c r="B98" s="41">
        <v>45565</v>
      </c>
      <c r="C98" t="s">
        <v>317</v>
      </c>
      <c r="D98" t="s">
        <v>492</v>
      </c>
      <c r="E98" t="s">
        <v>501</v>
      </c>
      <c r="F98" t="s">
        <v>537</v>
      </c>
      <c r="G98" t="s">
        <v>557</v>
      </c>
      <c r="H98" s="27">
        <v>12.5</v>
      </c>
      <c r="I98" s="27">
        <v>186.55</v>
      </c>
      <c r="J98" s="27">
        <v>223.86</v>
      </c>
      <c r="K98" s="29" t="str">
        <f t="shared" si="1"/>
        <v>09-2024</v>
      </c>
    </row>
    <row r="99" ht="15" customHeight="1" spans="1:11">
      <c r="A99" t="s">
        <v>641</v>
      </c>
      <c r="B99" s="41">
        <v>45324</v>
      </c>
      <c r="C99" t="s">
        <v>95</v>
      </c>
      <c r="D99" t="s">
        <v>492</v>
      </c>
      <c r="E99" t="s">
        <v>499</v>
      </c>
      <c r="F99" t="s">
        <v>537</v>
      </c>
      <c r="G99" t="s">
        <v>557</v>
      </c>
      <c r="H99" s="27">
        <v>0</v>
      </c>
      <c r="I99" s="27">
        <v>107.45</v>
      </c>
      <c r="J99" s="27">
        <v>128.94</v>
      </c>
      <c r="K99" s="29" t="str">
        <f t="shared" si="1"/>
        <v>02-2024</v>
      </c>
    </row>
    <row r="100" ht="15" customHeight="1" spans="1:11">
      <c r="A100" t="s">
        <v>642</v>
      </c>
      <c r="B100" s="41">
        <v>45871</v>
      </c>
      <c r="C100" t="s">
        <v>334</v>
      </c>
      <c r="D100" t="s">
        <v>484</v>
      </c>
      <c r="E100" t="s">
        <v>501</v>
      </c>
      <c r="F100" t="s">
        <v>537</v>
      </c>
      <c r="G100" t="s">
        <v>557</v>
      </c>
      <c r="H100" s="27">
        <v>7.9</v>
      </c>
      <c r="I100" s="27">
        <v>177.78</v>
      </c>
      <c r="J100" s="27">
        <v>213.34</v>
      </c>
      <c r="K100" s="29" t="str">
        <f t="shared" si="1"/>
        <v>08-2025</v>
      </c>
    </row>
    <row r="101" ht="15" customHeight="1" spans="1:11">
      <c r="A101" t="s">
        <v>643</v>
      </c>
      <c r="B101" s="41">
        <v>45848</v>
      </c>
      <c r="C101" t="s">
        <v>257</v>
      </c>
      <c r="D101" t="s">
        <v>482</v>
      </c>
      <c r="E101" t="s">
        <v>498</v>
      </c>
      <c r="F101" t="s">
        <v>547</v>
      </c>
      <c r="G101" t="s">
        <v>540</v>
      </c>
      <c r="H101" s="27">
        <v>0</v>
      </c>
      <c r="I101" s="27">
        <v>1124.73</v>
      </c>
      <c r="J101" s="27">
        <v>1349.68</v>
      </c>
      <c r="K101" s="29" t="str">
        <f t="shared" si="1"/>
        <v>07-2025</v>
      </c>
    </row>
    <row r="102" ht="15" customHeight="1" spans="1:11">
      <c r="A102" t="s">
        <v>644</v>
      </c>
      <c r="B102" s="41">
        <v>45435</v>
      </c>
      <c r="C102" t="s">
        <v>317</v>
      </c>
      <c r="D102" t="s">
        <v>484</v>
      </c>
      <c r="E102" t="s">
        <v>500</v>
      </c>
      <c r="F102" t="s">
        <v>537</v>
      </c>
      <c r="G102" t="s">
        <v>557</v>
      </c>
      <c r="H102" s="27">
        <v>4.9</v>
      </c>
      <c r="I102" s="27">
        <v>2338.19</v>
      </c>
      <c r="J102" s="27">
        <v>2805.83</v>
      </c>
      <c r="K102" s="29" t="str">
        <f t="shared" si="1"/>
        <v>05-2024</v>
      </c>
    </row>
    <row r="103" ht="15" customHeight="1" spans="1:11">
      <c r="A103" t="s">
        <v>645</v>
      </c>
      <c r="B103" s="41">
        <v>45794</v>
      </c>
      <c r="C103" t="s">
        <v>154</v>
      </c>
      <c r="D103" t="s">
        <v>491</v>
      </c>
      <c r="E103" t="s">
        <v>499</v>
      </c>
      <c r="F103" t="s">
        <v>537</v>
      </c>
      <c r="G103" t="s">
        <v>557</v>
      </c>
      <c r="H103" s="27">
        <v>0</v>
      </c>
      <c r="I103" s="27">
        <v>474.96</v>
      </c>
      <c r="J103" s="27">
        <v>569.95</v>
      </c>
      <c r="K103" s="29" t="str">
        <f t="shared" si="1"/>
        <v>05-2025</v>
      </c>
    </row>
    <row r="104" ht="15" customHeight="1" spans="1:11">
      <c r="A104" t="s">
        <v>646</v>
      </c>
      <c r="B104" s="41">
        <v>45449</v>
      </c>
      <c r="C104" t="s">
        <v>303</v>
      </c>
      <c r="D104" t="s">
        <v>492</v>
      </c>
      <c r="E104" t="s">
        <v>500</v>
      </c>
      <c r="F104" t="s">
        <v>537</v>
      </c>
      <c r="G104" t="s">
        <v>545</v>
      </c>
      <c r="H104" s="27">
        <v>0</v>
      </c>
      <c r="I104" s="27">
        <v>507.64</v>
      </c>
      <c r="J104" s="27">
        <v>609.17</v>
      </c>
      <c r="K104" s="29" t="str">
        <f t="shared" si="1"/>
        <v>06-2024</v>
      </c>
    </row>
    <row r="105" ht="15" customHeight="1" spans="1:11">
      <c r="A105" t="s">
        <v>647</v>
      </c>
      <c r="B105" s="41">
        <v>45383</v>
      </c>
      <c r="C105" t="s">
        <v>197</v>
      </c>
      <c r="D105" t="s">
        <v>494</v>
      </c>
      <c r="E105" t="s">
        <v>501</v>
      </c>
      <c r="F105" t="s">
        <v>537</v>
      </c>
      <c r="G105" t="s">
        <v>540</v>
      </c>
      <c r="H105" s="27">
        <v>12.5</v>
      </c>
      <c r="I105" s="27">
        <v>37.75</v>
      </c>
      <c r="J105" s="27">
        <v>45.3</v>
      </c>
      <c r="K105" s="29" t="str">
        <f t="shared" si="1"/>
        <v>04-2024</v>
      </c>
    </row>
    <row r="106" ht="15" customHeight="1" spans="1:11">
      <c r="A106" t="s">
        <v>648</v>
      </c>
      <c r="B106" s="41">
        <v>45864</v>
      </c>
      <c r="C106" t="s">
        <v>347</v>
      </c>
      <c r="D106" t="s">
        <v>488</v>
      </c>
      <c r="E106" t="s">
        <v>498</v>
      </c>
      <c r="F106" t="s">
        <v>537</v>
      </c>
      <c r="G106" t="s">
        <v>538</v>
      </c>
      <c r="H106" s="27">
        <v>4.9</v>
      </c>
      <c r="I106" s="27">
        <v>44.2</v>
      </c>
      <c r="J106" s="27">
        <v>53.04</v>
      </c>
      <c r="K106" s="29" t="str">
        <f t="shared" si="1"/>
        <v>07-2025</v>
      </c>
    </row>
    <row r="107" ht="15" customHeight="1" spans="1:11">
      <c r="A107" t="s">
        <v>649</v>
      </c>
      <c r="B107" s="41">
        <v>45463</v>
      </c>
      <c r="C107" t="s">
        <v>221</v>
      </c>
      <c r="D107" t="s">
        <v>489</v>
      </c>
      <c r="E107" t="s">
        <v>499</v>
      </c>
      <c r="F107" t="s">
        <v>537</v>
      </c>
      <c r="G107" t="s">
        <v>545</v>
      </c>
      <c r="H107" s="27">
        <v>7.9</v>
      </c>
      <c r="I107" s="27">
        <v>93.66</v>
      </c>
      <c r="J107" s="27">
        <v>112.39</v>
      </c>
      <c r="K107" s="29" t="str">
        <f t="shared" si="1"/>
        <v>06-2024</v>
      </c>
    </row>
    <row r="108" ht="15" customHeight="1" spans="1:11">
      <c r="A108" t="s">
        <v>650</v>
      </c>
      <c r="B108" s="41">
        <v>45900</v>
      </c>
      <c r="C108" t="s">
        <v>269</v>
      </c>
      <c r="D108" t="s">
        <v>488</v>
      </c>
      <c r="E108" t="s">
        <v>499</v>
      </c>
      <c r="F108" t="s">
        <v>537</v>
      </c>
      <c r="G108" t="s">
        <v>540</v>
      </c>
      <c r="H108" s="27">
        <v>0</v>
      </c>
      <c r="I108" s="27">
        <v>890.58</v>
      </c>
      <c r="J108" s="27">
        <v>1068.7</v>
      </c>
      <c r="K108" s="29" t="str">
        <f t="shared" si="1"/>
        <v>08-2025</v>
      </c>
    </row>
    <row r="109" ht="15" customHeight="1" spans="1:11">
      <c r="A109" t="s">
        <v>651</v>
      </c>
      <c r="B109" s="41">
        <v>45497</v>
      </c>
      <c r="C109" t="s">
        <v>234</v>
      </c>
      <c r="D109" t="s">
        <v>491</v>
      </c>
      <c r="E109" t="s">
        <v>498</v>
      </c>
      <c r="F109" t="s">
        <v>542</v>
      </c>
      <c r="G109" t="s">
        <v>540</v>
      </c>
      <c r="H109" s="27">
        <v>7.9</v>
      </c>
      <c r="I109" s="27">
        <v>182.29</v>
      </c>
      <c r="J109" s="27">
        <v>218.75</v>
      </c>
      <c r="K109" s="29" t="str">
        <f t="shared" si="1"/>
        <v>07-2024</v>
      </c>
    </row>
    <row r="110" ht="15" customHeight="1" spans="1:11">
      <c r="A110" t="s">
        <v>652</v>
      </c>
      <c r="B110" s="41">
        <v>45496</v>
      </c>
      <c r="C110" t="s">
        <v>263</v>
      </c>
      <c r="D110" t="s">
        <v>494</v>
      </c>
      <c r="E110" t="s">
        <v>498</v>
      </c>
      <c r="F110" t="s">
        <v>537</v>
      </c>
      <c r="G110" t="s">
        <v>545</v>
      </c>
      <c r="H110" s="27">
        <v>12.5</v>
      </c>
      <c r="I110" s="27">
        <v>603.59</v>
      </c>
      <c r="J110" s="27">
        <v>724.31</v>
      </c>
      <c r="K110" s="29" t="str">
        <f t="shared" si="1"/>
        <v>07-2024</v>
      </c>
    </row>
    <row r="111" ht="15" customHeight="1" spans="1:11">
      <c r="A111" t="s">
        <v>653</v>
      </c>
      <c r="B111" s="41">
        <v>45449</v>
      </c>
      <c r="C111" t="s">
        <v>297</v>
      </c>
      <c r="D111" t="s">
        <v>492</v>
      </c>
      <c r="E111" t="s">
        <v>499</v>
      </c>
      <c r="F111" t="s">
        <v>537</v>
      </c>
      <c r="G111" t="s">
        <v>557</v>
      </c>
      <c r="H111" s="27">
        <v>12.5</v>
      </c>
      <c r="I111" s="27">
        <v>269.37</v>
      </c>
      <c r="J111" s="27">
        <v>323.24</v>
      </c>
      <c r="K111" s="29" t="str">
        <f t="shared" si="1"/>
        <v>06-2024</v>
      </c>
    </row>
    <row r="112" ht="15" customHeight="1" spans="1:11">
      <c r="A112" t="s">
        <v>654</v>
      </c>
      <c r="B112" s="41">
        <v>45900</v>
      </c>
      <c r="C112" t="s">
        <v>276</v>
      </c>
      <c r="D112" t="s">
        <v>484</v>
      </c>
      <c r="E112" t="s">
        <v>501</v>
      </c>
      <c r="F112" t="s">
        <v>537</v>
      </c>
      <c r="G112" t="s">
        <v>540</v>
      </c>
      <c r="H112" s="27">
        <v>4.9</v>
      </c>
      <c r="I112" s="27">
        <v>519.45</v>
      </c>
      <c r="J112" s="27">
        <v>623.34</v>
      </c>
      <c r="K112" s="29" t="str">
        <f t="shared" si="1"/>
        <v>08-2025</v>
      </c>
    </row>
    <row r="113" ht="15" customHeight="1" spans="1:11">
      <c r="A113" t="s">
        <v>655</v>
      </c>
      <c r="B113" s="41">
        <v>45732</v>
      </c>
      <c r="C113" t="s">
        <v>102</v>
      </c>
      <c r="D113" t="s">
        <v>482</v>
      </c>
      <c r="E113" t="s">
        <v>501</v>
      </c>
      <c r="F113" t="s">
        <v>537</v>
      </c>
      <c r="G113" t="s">
        <v>538</v>
      </c>
      <c r="H113" s="27">
        <v>12.5</v>
      </c>
      <c r="I113" s="27">
        <v>257.8</v>
      </c>
      <c r="J113" s="27">
        <v>309.36</v>
      </c>
      <c r="K113" s="29" t="str">
        <f t="shared" si="1"/>
        <v>03-2025</v>
      </c>
    </row>
    <row r="114" ht="15" customHeight="1" spans="1:11">
      <c r="A114" t="s">
        <v>656</v>
      </c>
      <c r="B114" s="41">
        <v>45317</v>
      </c>
      <c r="C114" t="s">
        <v>234</v>
      </c>
      <c r="D114" t="s">
        <v>484</v>
      </c>
      <c r="E114" t="s">
        <v>500</v>
      </c>
      <c r="F114" t="s">
        <v>537</v>
      </c>
      <c r="G114" t="s">
        <v>545</v>
      </c>
      <c r="H114" s="27">
        <v>0</v>
      </c>
      <c r="I114" s="27">
        <v>862.01</v>
      </c>
      <c r="J114" s="27">
        <v>1034.41</v>
      </c>
      <c r="K114" s="29" t="str">
        <f t="shared" si="1"/>
        <v>01-2024</v>
      </c>
    </row>
    <row r="115" ht="15" customHeight="1" spans="1:11">
      <c r="A115" t="s">
        <v>657</v>
      </c>
      <c r="B115" s="41">
        <v>45391</v>
      </c>
      <c r="C115" t="s">
        <v>223</v>
      </c>
      <c r="D115" t="s">
        <v>493</v>
      </c>
      <c r="E115" t="s">
        <v>500</v>
      </c>
      <c r="F115" t="s">
        <v>537</v>
      </c>
      <c r="G115" t="s">
        <v>545</v>
      </c>
      <c r="H115" s="27">
        <v>0</v>
      </c>
      <c r="I115" s="27">
        <v>101.64</v>
      </c>
      <c r="J115" s="27">
        <v>121.97</v>
      </c>
      <c r="K115" s="29" t="str">
        <f t="shared" si="1"/>
        <v>04-2024</v>
      </c>
    </row>
    <row r="116" ht="15" customHeight="1" spans="1:11">
      <c r="A116" t="s">
        <v>658</v>
      </c>
      <c r="B116" s="41">
        <v>45460</v>
      </c>
      <c r="C116" t="s">
        <v>355</v>
      </c>
      <c r="D116" t="s">
        <v>488</v>
      </c>
      <c r="E116" t="s">
        <v>498</v>
      </c>
      <c r="F116" t="s">
        <v>537</v>
      </c>
      <c r="G116" t="s">
        <v>540</v>
      </c>
      <c r="H116" s="27">
        <v>12.5</v>
      </c>
      <c r="I116" s="27">
        <v>2266.44</v>
      </c>
      <c r="J116" s="27">
        <v>2719.73</v>
      </c>
      <c r="K116" s="29" t="str">
        <f t="shared" si="1"/>
        <v>06-2024</v>
      </c>
    </row>
    <row r="117" ht="15" customHeight="1" spans="1:11">
      <c r="A117" t="s">
        <v>659</v>
      </c>
      <c r="B117" s="41">
        <v>46013</v>
      </c>
      <c r="C117" t="s">
        <v>147</v>
      </c>
      <c r="D117" t="s">
        <v>488</v>
      </c>
      <c r="E117" t="s">
        <v>500</v>
      </c>
      <c r="F117" t="s">
        <v>537</v>
      </c>
      <c r="G117" t="s">
        <v>545</v>
      </c>
      <c r="H117" s="27">
        <v>0</v>
      </c>
      <c r="I117" s="27">
        <v>1425.51</v>
      </c>
      <c r="J117" s="27">
        <v>1710.61</v>
      </c>
      <c r="K117" s="29" t="str">
        <f t="shared" si="1"/>
        <v>12-2025</v>
      </c>
    </row>
    <row r="118" ht="15" customHeight="1" spans="1:11">
      <c r="A118" t="s">
        <v>660</v>
      </c>
      <c r="B118" s="41">
        <v>45946</v>
      </c>
      <c r="C118" t="s">
        <v>185</v>
      </c>
      <c r="D118" t="s">
        <v>495</v>
      </c>
      <c r="E118" t="s">
        <v>499</v>
      </c>
      <c r="F118" t="s">
        <v>537</v>
      </c>
      <c r="G118" t="s">
        <v>545</v>
      </c>
      <c r="H118" s="27">
        <v>7.9</v>
      </c>
      <c r="I118" s="27">
        <v>240.47</v>
      </c>
      <c r="J118" s="27">
        <v>288.56</v>
      </c>
      <c r="K118" s="29" t="str">
        <f t="shared" si="1"/>
        <v>10-2025</v>
      </c>
    </row>
    <row r="119" ht="15" customHeight="1" spans="1:11">
      <c r="A119" t="s">
        <v>661</v>
      </c>
      <c r="B119" s="41">
        <v>45896</v>
      </c>
      <c r="C119" t="s">
        <v>90</v>
      </c>
      <c r="D119" t="s">
        <v>486</v>
      </c>
      <c r="E119" t="s">
        <v>500</v>
      </c>
      <c r="F119" t="s">
        <v>537</v>
      </c>
      <c r="G119" t="s">
        <v>540</v>
      </c>
      <c r="H119" s="27">
        <v>0</v>
      </c>
      <c r="I119" s="27">
        <v>41.95</v>
      </c>
      <c r="J119" s="27">
        <v>50.34</v>
      </c>
      <c r="K119" s="29" t="str">
        <f t="shared" si="1"/>
        <v>08-2025</v>
      </c>
    </row>
    <row r="120" ht="15" customHeight="1" spans="1:11">
      <c r="A120" t="s">
        <v>662</v>
      </c>
      <c r="B120" s="41">
        <v>45720</v>
      </c>
      <c r="C120" t="s">
        <v>265</v>
      </c>
      <c r="D120" t="s">
        <v>486</v>
      </c>
      <c r="E120" t="s">
        <v>499</v>
      </c>
      <c r="F120" t="s">
        <v>537</v>
      </c>
      <c r="G120" t="s">
        <v>557</v>
      </c>
      <c r="H120" s="27">
        <v>4.9</v>
      </c>
      <c r="I120" s="27">
        <v>473.56</v>
      </c>
      <c r="J120" s="27">
        <v>568.27</v>
      </c>
      <c r="K120" s="29" t="str">
        <f t="shared" si="1"/>
        <v>03-2025</v>
      </c>
    </row>
    <row r="121" ht="15" customHeight="1" spans="1:11">
      <c r="A121" t="s">
        <v>663</v>
      </c>
      <c r="B121" s="41">
        <v>45346</v>
      </c>
      <c r="C121" t="s">
        <v>336</v>
      </c>
      <c r="D121" t="s">
        <v>491</v>
      </c>
      <c r="E121" t="s">
        <v>501</v>
      </c>
      <c r="F121" t="s">
        <v>537</v>
      </c>
      <c r="G121" t="s">
        <v>538</v>
      </c>
      <c r="H121" s="27">
        <v>12.5</v>
      </c>
      <c r="I121" s="27">
        <v>1626.02</v>
      </c>
      <c r="J121" s="27">
        <v>1951.22</v>
      </c>
      <c r="K121" s="29" t="str">
        <f t="shared" si="1"/>
        <v>02-2024</v>
      </c>
    </row>
    <row r="122" ht="15" customHeight="1" spans="1:11">
      <c r="A122" t="s">
        <v>664</v>
      </c>
      <c r="B122" s="41">
        <v>45842</v>
      </c>
      <c r="C122" t="s">
        <v>175</v>
      </c>
      <c r="D122" t="s">
        <v>486</v>
      </c>
      <c r="E122" t="s">
        <v>499</v>
      </c>
      <c r="F122" t="s">
        <v>537</v>
      </c>
      <c r="G122" t="s">
        <v>557</v>
      </c>
      <c r="H122" s="27">
        <v>0</v>
      </c>
      <c r="I122" s="27">
        <v>1385.85</v>
      </c>
      <c r="J122" s="27">
        <v>1663.02</v>
      </c>
      <c r="K122" s="29" t="str">
        <f t="shared" si="1"/>
        <v>07-2025</v>
      </c>
    </row>
    <row r="123" ht="15" customHeight="1" spans="1:11">
      <c r="A123" t="s">
        <v>665</v>
      </c>
      <c r="B123" s="41">
        <v>45743</v>
      </c>
      <c r="C123" t="s">
        <v>251</v>
      </c>
      <c r="D123" t="s">
        <v>488</v>
      </c>
      <c r="E123" t="s">
        <v>499</v>
      </c>
      <c r="F123" t="s">
        <v>537</v>
      </c>
      <c r="G123" t="s">
        <v>538</v>
      </c>
      <c r="H123" s="27">
        <v>7.9</v>
      </c>
      <c r="I123" s="27">
        <v>502.63</v>
      </c>
      <c r="J123" s="27">
        <v>603.16</v>
      </c>
      <c r="K123" s="29" t="str">
        <f t="shared" si="1"/>
        <v>03-2025</v>
      </c>
    </row>
    <row r="124" ht="15" customHeight="1" spans="1:11">
      <c r="A124" t="s">
        <v>666</v>
      </c>
      <c r="B124" s="41">
        <v>46019</v>
      </c>
      <c r="C124" t="s">
        <v>269</v>
      </c>
      <c r="D124" t="s">
        <v>492</v>
      </c>
      <c r="E124" t="s">
        <v>498</v>
      </c>
      <c r="F124" t="s">
        <v>537</v>
      </c>
      <c r="G124" t="s">
        <v>538</v>
      </c>
      <c r="H124" s="27">
        <v>4.9</v>
      </c>
      <c r="I124" s="27">
        <v>1356.05</v>
      </c>
      <c r="J124" s="27">
        <v>1627.26</v>
      </c>
      <c r="K124" s="29" t="str">
        <f t="shared" si="1"/>
        <v>12-2025</v>
      </c>
    </row>
    <row r="125" ht="15" customHeight="1" spans="1:11">
      <c r="A125" t="s">
        <v>667</v>
      </c>
      <c r="B125" s="41">
        <v>45565</v>
      </c>
      <c r="C125" t="s">
        <v>334</v>
      </c>
      <c r="D125" t="s">
        <v>494</v>
      </c>
      <c r="E125" t="s">
        <v>501</v>
      </c>
      <c r="F125" t="s">
        <v>537</v>
      </c>
      <c r="G125" t="s">
        <v>557</v>
      </c>
      <c r="H125" s="27">
        <v>0</v>
      </c>
      <c r="I125" s="27">
        <v>301.58</v>
      </c>
      <c r="J125" s="27">
        <v>361.9</v>
      </c>
      <c r="K125" s="29" t="str">
        <f t="shared" si="1"/>
        <v>09-2024</v>
      </c>
    </row>
    <row r="126" ht="15" customHeight="1" spans="1:11">
      <c r="A126" t="s">
        <v>668</v>
      </c>
      <c r="B126" s="41">
        <v>45676</v>
      </c>
      <c r="C126" t="s">
        <v>226</v>
      </c>
      <c r="D126" t="s">
        <v>484</v>
      </c>
      <c r="E126" t="s">
        <v>501</v>
      </c>
      <c r="F126" t="s">
        <v>537</v>
      </c>
      <c r="G126" t="s">
        <v>540</v>
      </c>
      <c r="H126" s="27">
        <v>7.9</v>
      </c>
      <c r="I126" s="27">
        <v>429.87</v>
      </c>
      <c r="J126" s="27">
        <v>515.84</v>
      </c>
      <c r="K126" s="29" t="str">
        <f t="shared" si="1"/>
        <v>01-2025</v>
      </c>
    </row>
    <row r="127" ht="15" customHeight="1" spans="1:11">
      <c r="A127" t="s">
        <v>669</v>
      </c>
      <c r="B127" s="41">
        <v>45761</v>
      </c>
      <c r="C127" t="s">
        <v>276</v>
      </c>
      <c r="D127" t="s">
        <v>491</v>
      </c>
      <c r="E127" t="s">
        <v>501</v>
      </c>
      <c r="F127" t="s">
        <v>537</v>
      </c>
      <c r="G127" t="s">
        <v>557</v>
      </c>
      <c r="H127" s="27">
        <v>4.9</v>
      </c>
      <c r="I127" s="27">
        <v>1430.99</v>
      </c>
      <c r="J127" s="27">
        <v>1717.19</v>
      </c>
      <c r="K127" s="29" t="str">
        <f t="shared" si="1"/>
        <v>04-2025</v>
      </c>
    </row>
    <row r="128" ht="15" customHeight="1" spans="1:11">
      <c r="A128" t="s">
        <v>670</v>
      </c>
      <c r="B128" s="41">
        <v>45308</v>
      </c>
      <c r="C128" t="s">
        <v>108</v>
      </c>
      <c r="D128" t="s">
        <v>486</v>
      </c>
      <c r="E128" t="s">
        <v>499</v>
      </c>
      <c r="F128" t="s">
        <v>537</v>
      </c>
      <c r="G128" t="s">
        <v>557</v>
      </c>
      <c r="H128" s="27">
        <v>4.9</v>
      </c>
      <c r="I128" s="27">
        <v>1666.7</v>
      </c>
      <c r="J128" s="27">
        <v>2000.04</v>
      </c>
      <c r="K128" s="29" t="str">
        <f t="shared" si="1"/>
        <v>01-2024</v>
      </c>
    </row>
    <row r="129" ht="15" customHeight="1" spans="1:11">
      <c r="A129" t="s">
        <v>671</v>
      </c>
      <c r="B129" s="41">
        <v>45604</v>
      </c>
      <c r="C129" t="s">
        <v>299</v>
      </c>
      <c r="D129" t="s">
        <v>488</v>
      </c>
      <c r="E129" t="s">
        <v>499</v>
      </c>
      <c r="F129" t="s">
        <v>537</v>
      </c>
      <c r="G129" t="s">
        <v>545</v>
      </c>
      <c r="H129" s="27">
        <v>0</v>
      </c>
      <c r="I129" s="27">
        <v>84.94</v>
      </c>
      <c r="J129" s="27">
        <v>101.93</v>
      </c>
      <c r="K129" s="29" t="str">
        <f t="shared" si="1"/>
        <v>11-2024</v>
      </c>
    </row>
    <row r="130" ht="15" customHeight="1" spans="1:11">
      <c r="A130" t="s">
        <v>672</v>
      </c>
      <c r="B130" s="41">
        <v>45823</v>
      </c>
      <c r="C130" t="s">
        <v>288</v>
      </c>
      <c r="D130" t="s">
        <v>493</v>
      </c>
      <c r="E130" t="s">
        <v>501</v>
      </c>
      <c r="F130" t="s">
        <v>537</v>
      </c>
      <c r="G130" t="s">
        <v>540</v>
      </c>
      <c r="H130" s="27">
        <v>0</v>
      </c>
      <c r="I130" s="27">
        <v>423.62</v>
      </c>
      <c r="J130" s="27">
        <v>508.34</v>
      </c>
      <c r="K130" s="29" t="str">
        <f t="shared" si="1"/>
        <v>06-2025</v>
      </c>
    </row>
    <row r="131" ht="15" customHeight="1" spans="1:11">
      <c r="A131" t="s">
        <v>673</v>
      </c>
      <c r="B131" s="41">
        <v>45948</v>
      </c>
      <c r="C131" t="s">
        <v>286</v>
      </c>
      <c r="D131" t="s">
        <v>486</v>
      </c>
      <c r="E131" t="s">
        <v>501</v>
      </c>
      <c r="F131" t="s">
        <v>537</v>
      </c>
      <c r="G131" t="s">
        <v>545</v>
      </c>
      <c r="H131" s="27">
        <v>4.9</v>
      </c>
      <c r="I131" s="27">
        <v>528.27</v>
      </c>
      <c r="J131" s="27">
        <v>633.92</v>
      </c>
      <c r="K131" s="29" t="str">
        <f t="shared" ref="K131:K194" si="2">TEXT(B131,"mm-yyyy")</f>
        <v>10-2025</v>
      </c>
    </row>
    <row r="132" ht="15" customHeight="1" spans="1:11">
      <c r="A132" t="s">
        <v>674</v>
      </c>
      <c r="B132" s="41">
        <v>45995</v>
      </c>
      <c r="C132" t="s">
        <v>223</v>
      </c>
      <c r="D132" t="s">
        <v>488</v>
      </c>
      <c r="E132" t="s">
        <v>501</v>
      </c>
      <c r="F132" t="s">
        <v>537</v>
      </c>
      <c r="G132" t="s">
        <v>538</v>
      </c>
      <c r="H132" s="27">
        <v>0</v>
      </c>
      <c r="I132" s="27">
        <v>235.6</v>
      </c>
      <c r="J132" s="27">
        <v>282.72</v>
      </c>
      <c r="K132" s="29" t="str">
        <f t="shared" si="2"/>
        <v>12-2025</v>
      </c>
    </row>
    <row r="133" ht="15" customHeight="1" spans="1:11">
      <c r="A133" t="s">
        <v>675</v>
      </c>
      <c r="B133" s="41">
        <v>45575</v>
      </c>
      <c r="C133" t="s">
        <v>278</v>
      </c>
      <c r="D133" t="s">
        <v>484</v>
      </c>
      <c r="E133" t="s">
        <v>498</v>
      </c>
      <c r="F133" t="s">
        <v>537</v>
      </c>
      <c r="G133" t="s">
        <v>540</v>
      </c>
      <c r="H133" s="27">
        <v>0</v>
      </c>
      <c r="I133" s="27">
        <v>1018.96</v>
      </c>
      <c r="J133" s="27">
        <v>1222.75</v>
      </c>
      <c r="K133" s="29" t="str">
        <f t="shared" si="2"/>
        <v>10-2024</v>
      </c>
    </row>
    <row r="134" ht="15" customHeight="1" spans="1:11">
      <c r="A134" t="s">
        <v>676</v>
      </c>
      <c r="B134" s="41">
        <v>45347</v>
      </c>
      <c r="C134" t="s">
        <v>315</v>
      </c>
      <c r="D134" t="s">
        <v>488</v>
      </c>
      <c r="E134" t="s">
        <v>499</v>
      </c>
      <c r="F134" t="s">
        <v>537</v>
      </c>
      <c r="G134" t="s">
        <v>538</v>
      </c>
      <c r="H134" s="27">
        <v>12.5</v>
      </c>
      <c r="I134" s="27">
        <v>576.28</v>
      </c>
      <c r="J134" s="27">
        <v>691.54</v>
      </c>
      <c r="K134" s="29" t="str">
        <f t="shared" si="2"/>
        <v>02-2024</v>
      </c>
    </row>
    <row r="135" ht="15" customHeight="1" spans="1:11">
      <c r="A135" t="s">
        <v>677</v>
      </c>
      <c r="B135" s="41">
        <v>45688</v>
      </c>
      <c r="C135" t="s">
        <v>336</v>
      </c>
      <c r="D135" t="s">
        <v>495</v>
      </c>
      <c r="E135" t="s">
        <v>499</v>
      </c>
      <c r="F135" t="s">
        <v>537</v>
      </c>
      <c r="G135" t="s">
        <v>538</v>
      </c>
      <c r="H135" s="27">
        <v>12.5</v>
      </c>
      <c r="I135" s="27">
        <v>2612.86</v>
      </c>
      <c r="J135" s="27">
        <v>3135.43</v>
      </c>
      <c r="K135" s="29" t="str">
        <f t="shared" si="2"/>
        <v>01-2025</v>
      </c>
    </row>
    <row r="136" ht="15" customHeight="1" spans="1:11">
      <c r="A136" t="s">
        <v>678</v>
      </c>
      <c r="B136" s="41">
        <v>46010</v>
      </c>
      <c r="C136" t="s">
        <v>211</v>
      </c>
      <c r="D136" t="s">
        <v>484</v>
      </c>
      <c r="E136" t="s">
        <v>498</v>
      </c>
      <c r="F136" t="s">
        <v>537</v>
      </c>
      <c r="G136" t="s">
        <v>540</v>
      </c>
      <c r="H136" s="27">
        <v>0</v>
      </c>
      <c r="I136" s="27">
        <v>3022.31</v>
      </c>
      <c r="J136" s="27">
        <v>3626.77</v>
      </c>
      <c r="K136" s="29" t="str">
        <f t="shared" si="2"/>
        <v>12-2025</v>
      </c>
    </row>
    <row r="137" ht="15" customHeight="1" spans="1:11">
      <c r="A137" t="s">
        <v>679</v>
      </c>
      <c r="B137" s="41">
        <v>45941</v>
      </c>
      <c r="C137" t="s">
        <v>309</v>
      </c>
      <c r="D137" t="s">
        <v>484</v>
      </c>
      <c r="E137" t="s">
        <v>500</v>
      </c>
      <c r="F137" t="s">
        <v>537</v>
      </c>
      <c r="G137" t="s">
        <v>538</v>
      </c>
      <c r="H137" s="27">
        <v>0</v>
      </c>
      <c r="I137" s="27">
        <v>29.48</v>
      </c>
      <c r="J137" s="27">
        <v>35.38</v>
      </c>
      <c r="K137" s="29" t="str">
        <f t="shared" si="2"/>
        <v>10-2025</v>
      </c>
    </row>
    <row r="138" ht="15" customHeight="1" spans="1:11">
      <c r="A138" t="s">
        <v>680</v>
      </c>
      <c r="B138" s="41">
        <v>45915</v>
      </c>
      <c r="C138" t="s">
        <v>77</v>
      </c>
      <c r="D138" t="s">
        <v>489</v>
      </c>
      <c r="E138" t="s">
        <v>498</v>
      </c>
      <c r="F138" t="s">
        <v>537</v>
      </c>
      <c r="G138" t="s">
        <v>538</v>
      </c>
      <c r="H138" s="27">
        <v>0</v>
      </c>
      <c r="I138" s="27">
        <v>170.58</v>
      </c>
      <c r="J138" s="27">
        <v>204.7</v>
      </c>
      <c r="K138" s="29" t="str">
        <f t="shared" si="2"/>
        <v>09-2025</v>
      </c>
    </row>
    <row r="139" ht="15" customHeight="1" spans="1:11">
      <c r="A139" t="s">
        <v>681</v>
      </c>
      <c r="B139" s="41">
        <v>45557</v>
      </c>
      <c r="C139" t="s">
        <v>130</v>
      </c>
      <c r="D139" t="s">
        <v>491</v>
      </c>
      <c r="E139" t="s">
        <v>498</v>
      </c>
      <c r="F139" t="s">
        <v>537</v>
      </c>
      <c r="G139" t="s">
        <v>540</v>
      </c>
      <c r="H139" s="27">
        <v>0</v>
      </c>
      <c r="I139" s="27">
        <v>1298.15</v>
      </c>
      <c r="J139" s="27">
        <v>1557.78</v>
      </c>
      <c r="K139" s="29" t="str">
        <f t="shared" si="2"/>
        <v>09-2024</v>
      </c>
    </row>
    <row r="140" ht="15" customHeight="1" spans="1:11">
      <c r="A140" t="s">
        <v>682</v>
      </c>
      <c r="B140" s="41">
        <v>45370</v>
      </c>
      <c r="C140" t="s">
        <v>238</v>
      </c>
      <c r="D140" t="s">
        <v>493</v>
      </c>
      <c r="E140" t="s">
        <v>500</v>
      </c>
      <c r="F140" t="s">
        <v>537</v>
      </c>
      <c r="G140" t="s">
        <v>538</v>
      </c>
      <c r="H140" s="27">
        <v>7.9</v>
      </c>
      <c r="I140" s="27">
        <v>45.7</v>
      </c>
      <c r="J140" s="27">
        <v>54.84</v>
      </c>
      <c r="K140" s="29" t="str">
        <f t="shared" si="2"/>
        <v>03-2024</v>
      </c>
    </row>
    <row r="141" ht="15" customHeight="1" spans="1:11">
      <c r="A141" t="s">
        <v>683</v>
      </c>
      <c r="B141" s="41">
        <v>45982</v>
      </c>
      <c r="C141" t="s">
        <v>299</v>
      </c>
      <c r="D141" t="s">
        <v>484</v>
      </c>
      <c r="E141" t="s">
        <v>498</v>
      </c>
      <c r="F141" t="s">
        <v>537</v>
      </c>
      <c r="G141" t="s">
        <v>545</v>
      </c>
      <c r="H141" s="27">
        <v>0</v>
      </c>
      <c r="I141" s="27">
        <v>3414.24</v>
      </c>
      <c r="J141" s="27">
        <v>4097.09</v>
      </c>
      <c r="K141" s="29" t="str">
        <f t="shared" si="2"/>
        <v>11-2025</v>
      </c>
    </row>
    <row r="142" ht="15" customHeight="1" spans="1:11">
      <c r="A142" t="s">
        <v>684</v>
      </c>
      <c r="B142" s="41">
        <v>45963</v>
      </c>
      <c r="C142" t="s">
        <v>215</v>
      </c>
      <c r="D142" t="s">
        <v>488</v>
      </c>
      <c r="E142" t="s">
        <v>500</v>
      </c>
      <c r="F142" t="s">
        <v>537</v>
      </c>
      <c r="G142" t="s">
        <v>540</v>
      </c>
      <c r="H142" s="27">
        <v>7.9</v>
      </c>
      <c r="I142" s="27">
        <v>868.78</v>
      </c>
      <c r="J142" s="27">
        <v>1042.54</v>
      </c>
      <c r="K142" s="29" t="str">
        <f t="shared" si="2"/>
        <v>11-2025</v>
      </c>
    </row>
    <row r="143" ht="15" customHeight="1" spans="1:11">
      <c r="A143" t="s">
        <v>685</v>
      </c>
      <c r="B143" s="41">
        <v>45702</v>
      </c>
      <c r="C143" t="s">
        <v>82</v>
      </c>
      <c r="D143" t="s">
        <v>493</v>
      </c>
      <c r="E143" t="s">
        <v>500</v>
      </c>
      <c r="F143" t="s">
        <v>537</v>
      </c>
      <c r="G143" t="s">
        <v>540</v>
      </c>
      <c r="H143" s="27">
        <v>7.9</v>
      </c>
      <c r="I143" s="27">
        <v>66.04</v>
      </c>
      <c r="J143" s="27">
        <v>79.25</v>
      </c>
      <c r="K143" s="29" t="str">
        <f t="shared" si="2"/>
        <v>02-2025</v>
      </c>
    </row>
    <row r="144" ht="15" customHeight="1" spans="1:11">
      <c r="A144" t="s">
        <v>686</v>
      </c>
      <c r="B144" s="41">
        <v>45590</v>
      </c>
      <c r="C144" t="s">
        <v>257</v>
      </c>
      <c r="D144" t="s">
        <v>489</v>
      </c>
      <c r="E144" t="s">
        <v>498</v>
      </c>
      <c r="F144" t="s">
        <v>537</v>
      </c>
      <c r="G144" t="s">
        <v>557</v>
      </c>
      <c r="H144" s="27">
        <v>4.9</v>
      </c>
      <c r="I144" s="27">
        <v>2433.6</v>
      </c>
      <c r="J144" s="27">
        <v>2920.32</v>
      </c>
      <c r="K144" s="29" t="str">
        <f t="shared" si="2"/>
        <v>10-2024</v>
      </c>
    </row>
    <row r="145" ht="15" customHeight="1" spans="1:11">
      <c r="A145" t="s">
        <v>687</v>
      </c>
      <c r="B145" s="41">
        <v>45943</v>
      </c>
      <c r="C145" t="s">
        <v>330</v>
      </c>
      <c r="D145" t="s">
        <v>482</v>
      </c>
      <c r="E145" t="s">
        <v>500</v>
      </c>
      <c r="F145" t="s">
        <v>537</v>
      </c>
      <c r="G145" t="s">
        <v>557</v>
      </c>
      <c r="H145" s="27">
        <v>7.9</v>
      </c>
      <c r="I145" s="27">
        <v>3566.5</v>
      </c>
      <c r="J145" s="27">
        <v>4279.8</v>
      </c>
      <c r="K145" s="29" t="str">
        <f t="shared" si="2"/>
        <v>10-2025</v>
      </c>
    </row>
    <row r="146" ht="15" customHeight="1" spans="1:11">
      <c r="A146" t="s">
        <v>688</v>
      </c>
      <c r="B146" s="41">
        <v>45795</v>
      </c>
      <c r="C146" t="s">
        <v>77</v>
      </c>
      <c r="D146" t="s">
        <v>486</v>
      </c>
      <c r="E146" t="s">
        <v>500</v>
      </c>
      <c r="F146" t="s">
        <v>537</v>
      </c>
      <c r="G146" t="s">
        <v>538</v>
      </c>
      <c r="H146" s="27">
        <v>12.5</v>
      </c>
      <c r="I146" s="27">
        <v>519.67</v>
      </c>
      <c r="J146" s="27">
        <v>623.6</v>
      </c>
      <c r="K146" s="29" t="str">
        <f t="shared" si="2"/>
        <v>05-2025</v>
      </c>
    </row>
    <row r="147" ht="15" customHeight="1" spans="1:11">
      <c r="A147" t="s">
        <v>689</v>
      </c>
      <c r="B147" s="41">
        <v>45368</v>
      </c>
      <c r="C147" t="s">
        <v>263</v>
      </c>
      <c r="D147" t="s">
        <v>495</v>
      </c>
      <c r="E147" t="s">
        <v>501</v>
      </c>
      <c r="F147" t="s">
        <v>537</v>
      </c>
      <c r="G147" t="s">
        <v>538</v>
      </c>
      <c r="H147" s="27">
        <v>4.9</v>
      </c>
      <c r="I147" s="27">
        <v>308.71</v>
      </c>
      <c r="J147" s="27">
        <v>370.45</v>
      </c>
      <c r="K147" s="29" t="str">
        <f t="shared" si="2"/>
        <v>03-2024</v>
      </c>
    </row>
    <row r="148" ht="15" customHeight="1" spans="1:11">
      <c r="A148" t="s">
        <v>690</v>
      </c>
      <c r="B148" s="41">
        <v>46009</v>
      </c>
      <c r="C148" t="s">
        <v>328</v>
      </c>
      <c r="D148" t="s">
        <v>491</v>
      </c>
      <c r="E148" t="s">
        <v>500</v>
      </c>
      <c r="F148" t="s">
        <v>537</v>
      </c>
      <c r="G148" t="s">
        <v>538</v>
      </c>
      <c r="H148" s="27">
        <v>0</v>
      </c>
      <c r="I148" s="27">
        <v>530.61</v>
      </c>
      <c r="J148" s="27">
        <v>636.73</v>
      </c>
      <c r="K148" s="29" t="str">
        <f t="shared" si="2"/>
        <v>12-2025</v>
      </c>
    </row>
    <row r="149" ht="15" customHeight="1" spans="1:11">
      <c r="A149" t="s">
        <v>691</v>
      </c>
      <c r="B149" s="41">
        <v>45754</v>
      </c>
      <c r="C149" t="s">
        <v>183</v>
      </c>
      <c r="D149" t="s">
        <v>493</v>
      </c>
      <c r="E149" t="s">
        <v>500</v>
      </c>
      <c r="F149" t="s">
        <v>537</v>
      </c>
      <c r="G149" t="s">
        <v>545</v>
      </c>
      <c r="H149" s="27">
        <v>4.9</v>
      </c>
      <c r="I149" s="27">
        <v>815.55</v>
      </c>
      <c r="J149" s="27">
        <v>978.66</v>
      </c>
      <c r="K149" s="29" t="str">
        <f t="shared" si="2"/>
        <v>04-2025</v>
      </c>
    </row>
    <row r="150" ht="15" customHeight="1" spans="1:11">
      <c r="A150" t="s">
        <v>692</v>
      </c>
      <c r="B150" s="41">
        <v>45656</v>
      </c>
      <c r="C150" t="s">
        <v>209</v>
      </c>
      <c r="D150" t="s">
        <v>494</v>
      </c>
      <c r="E150" t="s">
        <v>501</v>
      </c>
      <c r="F150" t="s">
        <v>537</v>
      </c>
      <c r="G150" t="s">
        <v>540</v>
      </c>
      <c r="H150" s="27">
        <v>4.9</v>
      </c>
      <c r="I150" s="27">
        <v>134.79</v>
      </c>
      <c r="J150" s="27">
        <v>161.75</v>
      </c>
      <c r="K150" s="29" t="str">
        <f t="shared" si="2"/>
        <v>12-2024</v>
      </c>
    </row>
    <row r="151" ht="15" customHeight="1" spans="1:11">
      <c r="A151" t="s">
        <v>693</v>
      </c>
      <c r="B151" s="41">
        <v>45855</v>
      </c>
      <c r="C151" t="s">
        <v>160</v>
      </c>
      <c r="D151" t="s">
        <v>484</v>
      </c>
      <c r="E151" t="s">
        <v>499</v>
      </c>
      <c r="F151" t="s">
        <v>537</v>
      </c>
      <c r="G151" t="s">
        <v>538</v>
      </c>
      <c r="H151" s="27">
        <v>0</v>
      </c>
      <c r="I151" s="27">
        <v>420</v>
      </c>
      <c r="J151" s="27">
        <v>504</v>
      </c>
      <c r="K151" s="29" t="str">
        <f t="shared" si="2"/>
        <v>07-2025</v>
      </c>
    </row>
    <row r="152" ht="15" customHeight="1" spans="1:11">
      <c r="A152" t="s">
        <v>694</v>
      </c>
      <c r="B152" s="41">
        <v>45494</v>
      </c>
      <c r="C152" t="s">
        <v>326</v>
      </c>
      <c r="D152" t="s">
        <v>492</v>
      </c>
      <c r="E152" t="s">
        <v>500</v>
      </c>
      <c r="F152" t="s">
        <v>537</v>
      </c>
      <c r="G152" t="s">
        <v>545</v>
      </c>
      <c r="H152" s="27">
        <v>7.9</v>
      </c>
      <c r="I152" s="27">
        <v>1708.08</v>
      </c>
      <c r="J152" s="27">
        <v>2049.7</v>
      </c>
      <c r="K152" s="29" t="str">
        <f t="shared" si="2"/>
        <v>07-2024</v>
      </c>
    </row>
    <row r="153" ht="15" customHeight="1" spans="1:11">
      <c r="A153" t="s">
        <v>695</v>
      </c>
      <c r="B153" s="41">
        <v>45343</v>
      </c>
      <c r="C153" t="s">
        <v>130</v>
      </c>
      <c r="D153" t="s">
        <v>495</v>
      </c>
      <c r="E153" t="s">
        <v>499</v>
      </c>
      <c r="F153" t="s">
        <v>537</v>
      </c>
      <c r="G153" t="s">
        <v>557</v>
      </c>
      <c r="H153" s="27">
        <v>12.5</v>
      </c>
      <c r="I153" s="27">
        <v>85.52</v>
      </c>
      <c r="J153" s="27">
        <v>102.62</v>
      </c>
      <c r="K153" s="29" t="str">
        <f t="shared" si="2"/>
        <v>02-2024</v>
      </c>
    </row>
    <row r="154" ht="15" customHeight="1" spans="1:11">
      <c r="A154" t="s">
        <v>696</v>
      </c>
      <c r="B154" s="41">
        <v>45511</v>
      </c>
      <c r="C154" t="s">
        <v>349</v>
      </c>
      <c r="D154" t="s">
        <v>486</v>
      </c>
      <c r="E154" t="s">
        <v>500</v>
      </c>
      <c r="F154" t="s">
        <v>537</v>
      </c>
      <c r="G154" t="s">
        <v>538</v>
      </c>
      <c r="H154" s="27">
        <v>0</v>
      </c>
      <c r="I154" s="27">
        <v>642.23</v>
      </c>
      <c r="J154" s="27">
        <v>770.68</v>
      </c>
      <c r="K154" s="29" t="str">
        <f t="shared" si="2"/>
        <v>08-2024</v>
      </c>
    </row>
    <row r="155" ht="15" customHeight="1" spans="1:11">
      <c r="A155" t="s">
        <v>697</v>
      </c>
      <c r="B155" s="41">
        <v>45782</v>
      </c>
      <c r="C155" t="s">
        <v>77</v>
      </c>
      <c r="D155" t="s">
        <v>484</v>
      </c>
      <c r="E155" t="s">
        <v>500</v>
      </c>
      <c r="F155" t="s">
        <v>537</v>
      </c>
      <c r="G155" t="s">
        <v>557</v>
      </c>
      <c r="H155" s="27">
        <v>4.9</v>
      </c>
      <c r="I155" s="27">
        <v>8591.96</v>
      </c>
      <c r="J155" s="27">
        <v>10310.35</v>
      </c>
      <c r="K155" s="29" t="str">
        <f t="shared" si="2"/>
        <v>05-2025</v>
      </c>
    </row>
    <row r="156" ht="15" customHeight="1" spans="1:11">
      <c r="A156" t="s">
        <v>698</v>
      </c>
      <c r="B156" s="41">
        <v>45659</v>
      </c>
      <c r="C156" t="s">
        <v>234</v>
      </c>
      <c r="D156" t="s">
        <v>494</v>
      </c>
      <c r="E156" t="s">
        <v>499</v>
      </c>
      <c r="F156" t="s">
        <v>537</v>
      </c>
      <c r="G156" t="s">
        <v>540</v>
      </c>
      <c r="H156" s="27">
        <v>12.5</v>
      </c>
      <c r="I156" s="27">
        <v>983.08</v>
      </c>
      <c r="J156" s="27">
        <v>1179.7</v>
      </c>
      <c r="K156" s="29" t="str">
        <f t="shared" si="2"/>
        <v>01-2025</v>
      </c>
    </row>
    <row r="157" ht="15" customHeight="1" spans="1:11">
      <c r="A157" t="s">
        <v>699</v>
      </c>
      <c r="B157" s="41">
        <v>45322</v>
      </c>
      <c r="C157" t="s">
        <v>345</v>
      </c>
      <c r="D157" t="s">
        <v>489</v>
      </c>
      <c r="E157" t="s">
        <v>501</v>
      </c>
      <c r="F157" t="s">
        <v>537</v>
      </c>
      <c r="G157" t="s">
        <v>557</v>
      </c>
      <c r="H157" s="27">
        <v>7.9</v>
      </c>
      <c r="I157" s="27">
        <v>1408.51</v>
      </c>
      <c r="J157" s="27">
        <v>1690.21</v>
      </c>
      <c r="K157" s="29" t="str">
        <f t="shared" si="2"/>
        <v>01-2024</v>
      </c>
    </row>
    <row r="158" ht="15" customHeight="1" spans="1:11">
      <c r="A158" t="s">
        <v>700</v>
      </c>
      <c r="B158" s="41">
        <v>45349</v>
      </c>
      <c r="C158" t="s">
        <v>309</v>
      </c>
      <c r="D158" t="s">
        <v>488</v>
      </c>
      <c r="E158" t="s">
        <v>499</v>
      </c>
      <c r="F158" t="s">
        <v>537</v>
      </c>
      <c r="G158" t="s">
        <v>538</v>
      </c>
      <c r="H158" s="27">
        <v>4.9</v>
      </c>
      <c r="I158" s="27">
        <v>168</v>
      </c>
      <c r="J158" s="27">
        <v>201.6</v>
      </c>
      <c r="K158" s="29" t="str">
        <f t="shared" si="2"/>
        <v>02-2024</v>
      </c>
    </row>
    <row r="159" ht="15" customHeight="1" spans="1:11">
      <c r="A159" t="s">
        <v>701</v>
      </c>
      <c r="B159" s="41">
        <v>45659</v>
      </c>
      <c r="C159" t="s">
        <v>349</v>
      </c>
      <c r="D159" t="s">
        <v>495</v>
      </c>
      <c r="E159" t="s">
        <v>501</v>
      </c>
      <c r="F159" t="s">
        <v>537</v>
      </c>
      <c r="G159" t="s">
        <v>540</v>
      </c>
      <c r="H159" s="27">
        <v>4.9</v>
      </c>
      <c r="I159" s="27">
        <v>1519.23</v>
      </c>
      <c r="J159" s="27">
        <v>1823.08</v>
      </c>
      <c r="K159" s="29" t="str">
        <f t="shared" si="2"/>
        <v>01-2025</v>
      </c>
    </row>
    <row r="160" ht="15" customHeight="1" spans="1:11">
      <c r="A160" t="s">
        <v>702</v>
      </c>
      <c r="B160" s="41">
        <v>45330</v>
      </c>
      <c r="C160" t="s">
        <v>95</v>
      </c>
      <c r="D160" t="s">
        <v>482</v>
      </c>
      <c r="E160" t="s">
        <v>498</v>
      </c>
      <c r="F160" t="s">
        <v>537</v>
      </c>
      <c r="G160" t="s">
        <v>545</v>
      </c>
      <c r="H160" s="27">
        <v>12.5</v>
      </c>
      <c r="I160" s="27">
        <v>388.36</v>
      </c>
      <c r="J160" s="27">
        <v>466.03</v>
      </c>
      <c r="K160" s="29" t="str">
        <f t="shared" si="2"/>
        <v>02-2024</v>
      </c>
    </row>
    <row r="161" ht="15" customHeight="1" spans="1:11">
      <c r="A161" t="s">
        <v>703</v>
      </c>
      <c r="B161" s="41">
        <v>45640</v>
      </c>
      <c r="C161" t="s">
        <v>297</v>
      </c>
      <c r="D161" t="s">
        <v>486</v>
      </c>
      <c r="E161" t="s">
        <v>500</v>
      </c>
      <c r="F161" t="s">
        <v>537</v>
      </c>
      <c r="G161" t="s">
        <v>538</v>
      </c>
      <c r="H161" s="27">
        <v>4.9</v>
      </c>
      <c r="I161" s="27">
        <v>1776.31</v>
      </c>
      <c r="J161" s="27">
        <v>2131.57</v>
      </c>
      <c r="K161" s="29" t="str">
        <f t="shared" si="2"/>
        <v>12-2024</v>
      </c>
    </row>
    <row r="162" ht="15" customHeight="1" spans="1:11">
      <c r="A162" t="s">
        <v>704</v>
      </c>
      <c r="B162" s="41">
        <v>45601</v>
      </c>
      <c r="C162" t="s">
        <v>187</v>
      </c>
      <c r="D162" t="s">
        <v>486</v>
      </c>
      <c r="E162" t="s">
        <v>498</v>
      </c>
      <c r="F162" t="s">
        <v>537</v>
      </c>
      <c r="G162" t="s">
        <v>557</v>
      </c>
      <c r="H162" s="27">
        <v>12.5</v>
      </c>
      <c r="I162" s="27">
        <v>780.71</v>
      </c>
      <c r="J162" s="27">
        <v>936.85</v>
      </c>
      <c r="K162" s="29" t="str">
        <f t="shared" si="2"/>
        <v>11-2024</v>
      </c>
    </row>
    <row r="163" ht="15" customHeight="1" spans="1:11">
      <c r="A163" t="s">
        <v>705</v>
      </c>
      <c r="B163" s="41">
        <v>45657</v>
      </c>
      <c r="C163" t="s">
        <v>152</v>
      </c>
      <c r="D163" t="s">
        <v>495</v>
      </c>
      <c r="E163" t="s">
        <v>498</v>
      </c>
      <c r="F163" t="s">
        <v>537</v>
      </c>
      <c r="G163" t="s">
        <v>540</v>
      </c>
      <c r="H163" s="27">
        <v>4.9</v>
      </c>
      <c r="I163" s="27">
        <v>4971.28</v>
      </c>
      <c r="J163" s="27">
        <v>5965.54</v>
      </c>
      <c r="K163" s="29" t="str">
        <f t="shared" si="2"/>
        <v>12-2024</v>
      </c>
    </row>
    <row r="164" ht="15" customHeight="1" spans="1:11">
      <c r="A164" t="s">
        <v>706</v>
      </c>
      <c r="B164" s="41">
        <v>45692</v>
      </c>
      <c r="C164" t="s">
        <v>332</v>
      </c>
      <c r="D164" t="s">
        <v>495</v>
      </c>
      <c r="E164" t="s">
        <v>501</v>
      </c>
      <c r="F164" t="s">
        <v>537</v>
      </c>
      <c r="G164" t="s">
        <v>540</v>
      </c>
      <c r="H164" s="27">
        <v>4.9</v>
      </c>
      <c r="I164" s="27">
        <v>379.67</v>
      </c>
      <c r="J164" s="27">
        <v>455.6</v>
      </c>
      <c r="K164" s="29" t="str">
        <f t="shared" si="2"/>
        <v>02-2025</v>
      </c>
    </row>
    <row r="165" ht="15" customHeight="1" spans="1:11">
      <c r="A165" t="s">
        <v>707</v>
      </c>
      <c r="B165" s="41">
        <v>45647</v>
      </c>
      <c r="C165" t="s">
        <v>185</v>
      </c>
      <c r="D165" t="s">
        <v>486</v>
      </c>
      <c r="E165" t="s">
        <v>501</v>
      </c>
      <c r="F165" t="s">
        <v>537</v>
      </c>
      <c r="G165" t="s">
        <v>540</v>
      </c>
      <c r="H165" s="27">
        <v>12.5</v>
      </c>
      <c r="I165" s="27">
        <v>340.53</v>
      </c>
      <c r="J165" s="27">
        <v>408.64</v>
      </c>
      <c r="K165" s="29" t="str">
        <f t="shared" si="2"/>
        <v>12-2024</v>
      </c>
    </row>
    <row r="166" ht="15" customHeight="1" spans="1:11">
      <c r="A166" t="s">
        <v>708</v>
      </c>
      <c r="B166" s="41">
        <v>45650</v>
      </c>
      <c r="C166" t="s">
        <v>163</v>
      </c>
      <c r="D166" t="s">
        <v>484</v>
      </c>
      <c r="E166" t="s">
        <v>501</v>
      </c>
      <c r="F166" t="s">
        <v>537</v>
      </c>
      <c r="G166" t="s">
        <v>557</v>
      </c>
      <c r="H166" s="27">
        <v>12.5</v>
      </c>
      <c r="I166" s="27">
        <v>1574.23</v>
      </c>
      <c r="J166" s="27">
        <v>1889.08</v>
      </c>
      <c r="K166" s="29" t="str">
        <f t="shared" si="2"/>
        <v>12-2024</v>
      </c>
    </row>
    <row r="167" ht="15" customHeight="1" spans="1:11">
      <c r="A167" t="s">
        <v>709</v>
      </c>
      <c r="B167" s="41">
        <v>45593</v>
      </c>
      <c r="C167" t="s">
        <v>46</v>
      </c>
      <c r="D167" t="s">
        <v>491</v>
      </c>
      <c r="E167" t="s">
        <v>500</v>
      </c>
      <c r="F167" t="s">
        <v>542</v>
      </c>
      <c r="G167" t="s">
        <v>545</v>
      </c>
      <c r="H167" s="27">
        <v>7.9</v>
      </c>
      <c r="I167" s="27">
        <v>53.92</v>
      </c>
      <c r="J167" s="27">
        <v>64.7</v>
      </c>
      <c r="K167" s="29" t="str">
        <f t="shared" si="2"/>
        <v>10-2024</v>
      </c>
    </row>
    <row r="168" ht="15" customHeight="1" spans="1:11">
      <c r="A168" t="s">
        <v>710</v>
      </c>
      <c r="B168" s="41">
        <v>45852</v>
      </c>
      <c r="C168" t="s">
        <v>345</v>
      </c>
      <c r="D168" t="s">
        <v>484</v>
      </c>
      <c r="E168" t="s">
        <v>500</v>
      </c>
      <c r="F168" t="s">
        <v>537</v>
      </c>
      <c r="G168" t="s">
        <v>557</v>
      </c>
      <c r="H168" s="27">
        <v>0</v>
      </c>
      <c r="I168" s="27">
        <v>263.44</v>
      </c>
      <c r="J168" s="27">
        <v>316.13</v>
      </c>
      <c r="K168" s="29" t="str">
        <f t="shared" si="2"/>
        <v>07-2025</v>
      </c>
    </row>
    <row r="169" ht="15" customHeight="1" spans="1:11">
      <c r="A169" t="s">
        <v>711</v>
      </c>
      <c r="B169" s="41">
        <v>45502</v>
      </c>
      <c r="C169" t="s">
        <v>139</v>
      </c>
      <c r="D169" t="s">
        <v>492</v>
      </c>
      <c r="E169" t="s">
        <v>500</v>
      </c>
      <c r="F169" t="s">
        <v>537</v>
      </c>
      <c r="G169" t="s">
        <v>540</v>
      </c>
      <c r="H169" s="27">
        <v>4.9</v>
      </c>
      <c r="I169" s="27">
        <v>73.45</v>
      </c>
      <c r="J169" s="27">
        <v>88.14</v>
      </c>
      <c r="K169" s="29" t="str">
        <f t="shared" si="2"/>
        <v>07-2024</v>
      </c>
    </row>
    <row r="170" ht="15" customHeight="1" spans="1:11">
      <c r="A170" t="s">
        <v>712</v>
      </c>
      <c r="B170" s="41">
        <v>45449</v>
      </c>
      <c r="C170" t="s">
        <v>72</v>
      </c>
      <c r="D170" t="s">
        <v>491</v>
      </c>
      <c r="E170" t="s">
        <v>501</v>
      </c>
      <c r="F170" t="s">
        <v>537</v>
      </c>
      <c r="G170" t="s">
        <v>540</v>
      </c>
      <c r="H170" s="27">
        <v>12.5</v>
      </c>
      <c r="I170" s="27">
        <v>837.49</v>
      </c>
      <c r="J170" s="27">
        <v>1004.99</v>
      </c>
      <c r="K170" s="29" t="str">
        <f t="shared" si="2"/>
        <v>06-2024</v>
      </c>
    </row>
    <row r="171" ht="15" customHeight="1" spans="1:11">
      <c r="A171" t="s">
        <v>713</v>
      </c>
      <c r="B171" s="41">
        <v>45590</v>
      </c>
      <c r="C171" t="s">
        <v>90</v>
      </c>
      <c r="D171" t="s">
        <v>493</v>
      </c>
      <c r="E171" t="s">
        <v>501</v>
      </c>
      <c r="F171" t="s">
        <v>537</v>
      </c>
      <c r="G171" t="s">
        <v>557</v>
      </c>
      <c r="H171" s="27">
        <v>12.5</v>
      </c>
      <c r="I171" s="27">
        <v>505.66</v>
      </c>
      <c r="J171" s="27">
        <v>606.79</v>
      </c>
      <c r="K171" s="29" t="str">
        <f t="shared" si="2"/>
        <v>10-2024</v>
      </c>
    </row>
    <row r="172" ht="15" customHeight="1" spans="1:11">
      <c r="A172" t="s">
        <v>714</v>
      </c>
      <c r="B172" s="41">
        <v>45682</v>
      </c>
      <c r="C172" t="s">
        <v>203</v>
      </c>
      <c r="D172" t="s">
        <v>486</v>
      </c>
      <c r="E172" t="s">
        <v>499</v>
      </c>
      <c r="F172" t="s">
        <v>537</v>
      </c>
      <c r="G172" t="s">
        <v>557</v>
      </c>
      <c r="H172" s="27">
        <v>12.5</v>
      </c>
      <c r="I172" s="27">
        <v>51.8</v>
      </c>
      <c r="J172" s="27">
        <v>62.16</v>
      </c>
      <c r="K172" s="29" t="str">
        <f t="shared" si="2"/>
        <v>01-2025</v>
      </c>
    </row>
    <row r="173" ht="15" customHeight="1" spans="1:11">
      <c r="A173" t="s">
        <v>715</v>
      </c>
      <c r="B173" s="41">
        <v>46005</v>
      </c>
      <c r="C173" t="s">
        <v>284</v>
      </c>
      <c r="D173" t="s">
        <v>484</v>
      </c>
      <c r="E173" t="s">
        <v>501</v>
      </c>
      <c r="F173" t="s">
        <v>537</v>
      </c>
      <c r="G173" t="s">
        <v>557</v>
      </c>
      <c r="H173" s="27">
        <v>4.9</v>
      </c>
      <c r="I173" s="27">
        <v>976.43</v>
      </c>
      <c r="J173" s="27">
        <v>1171.72</v>
      </c>
      <c r="K173" s="29" t="str">
        <f t="shared" si="2"/>
        <v>12-2025</v>
      </c>
    </row>
    <row r="174" ht="15" customHeight="1" spans="1:11">
      <c r="A174" t="s">
        <v>716</v>
      </c>
      <c r="B174" s="41">
        <v>45878</v>
      </c>
      <c r="C174" t="s">
        <v>340</v>
      </c>
      <c r="D174" t="s">
        <v>488</v>
      </c>
      <c r="E174" t="s">
        <v>499</v>
      </c>
      <c r="F174" t="s">
        <v>537</v>
      </c>
      <c r="G174" t="s">
        <v>557</v>
      </c>
      <c r="H174" s="27">
        <v>0</v>
      </c>
      <c r="I174" s="27">
        <v>1312.27</v>
      </c>
      <c r="J174" s="27">
        <v>1574.72</v>
      </c>
      <c r="K174" s="29" t="str">
        <f t="shared" si="2"/>
        <v>08-2025</v>
      </c>
    </row>
    <row r="175" ht="15" customHeight="1" spans="1:11">
      <c r="A175" t="s">
        <v>717</v>
      </c>
      <c r="B175" s="41">
        <v>45469</v>
      </c>
      <c r="C175" t="s">
        <v>130</v>
      </c>
      <c r="D175" t="s">
        <v>488</v>
      </c>
      <c r="E175" t="s">
        <v>498</v>
      </c>
      <c r="F175" t="s">
        <v>537</v>
      </c>
      <c r="G175" t="s">
        <v>557</v>
      </c>
      <c r="H175" s="27">
        <v>0</v>
      </c>
      <c r="I175" s="27">
        <v>1228.78</v>
      </c>
      <c r="J175" s="27">
        <v>1474.54</v>
      </c>
      <c r="K175" s="29" t="str">
        <f t="shared" si="2"/>
        <v>06-2024</v>
      </c>
    </row>
    <row r="176" ht="15" customHeight="1" spans="1:11">
      <c r="A176" t="s">
        <v>718</v>
      </c>
      <c r="B176" s="41">
        <v>45824</v>
      </c>
      <c r="C176" t="s">
        <v>228</v>
      </c>
      <c r="D176" t="s">
        <v>482</v>
      </c>
      <c r="E176" t="s">
        <v>499</v>
      </c>
      <c r="F176" t="s">
        <v>537</v>
      </c>
      <c r="G176" t="s">
        <v>538</v>
      </c>
      <c r="H176" s="27">
        <v>4.9</v>
      </c>
      <c r="I176" s="27">
        <v>1697.93</v>
      </c>
      <c r="J176" s="27">
        <v>2037.52</v>
      </c>
      <c r="K176" s="29" t="str">
        <f t="shared" si="2"/>
        <v>06-2025</v>
      </c>
    </row>
    <row r="177" ht="15" customHeight="1" spans="1:11">
      <c r="A177" t="s">
        <v>719</v>
      </c>
      <c r="B177" s="41">
        <v>45584</v>
      </c>
      <c r="C177" t="s">
        <v>338</v>
      </c>
      <c r="D177" t="s">
        <v>494</v>
      </c>
      <c r="E177" t="s">
        <v>500</v>
      </c>
      <c r="F177" t="s">
        <v>537</v>
      </c>
      <c r="G177" t="s">
        <v>540</v>
      </c>
      <c r="H177" s="27">
        <v>12.5</v>
      </c>
      <c r="I177" s="27">
        <v>1963.96</v>
      </c>
      <c r="J177" s="27">
        <v>2356.75</v>
      </c>
      <c r="K177" s="29" t="str">
        <f t="shared" si="2"/>
        <v>10-2024</v>
      </c>
    </row>
    <row r="178" ht="15" customHeight="1" spans="1:11">
      <c r="A178" t="s">
        <v>720</v>
      </c>
      <c r="B178" s="41">
        <v>45703</v>
      </c>
      <c r="C178" t="s">
        <v>59</v>
      </c>
      <c r="D178" t="s">
        <v>492</v>
      </c>
      <c r="E178" t="s">
        <v>500</v>
      </c>
      <c r="F178" t="s">
        <v>537</v>
      </c>
      <c r="G178" t="s">
        <v>545</v>
      </c>
      <c r="H178" s="27">
        <v>12.5</v>
      </c>
      <c r="I178" s="27">
        <v>390.3</v>
      </c>
      <c r="J178" s="27">
        <v>468.36</v>
      </c>
      <c r="K178" s="29" t="str">
        <f t="shared" si="2"/>
        <v>02-2025</v>
      </c>
    </row>
    <row r="179" ht="15" customHeight="1" spans="1:11">
      <c r="A179" t="s">
        <v>721</v>
      </c>
      <c r="B179" s="41">
        <v>45745</v>
      </c>
      <c r="C179" t="s">
        <v>313</v>
      </c>
      <c r="D179" t="s">
        <v>491</v>
      </c>
      <c r="E179" t="s">
        <v>500</v>
      </c>
      <c r="F179" t="s">
        <v>537</v>
      </c>
      <c r="G179" t="s">
        <v>545</v>
      </c>
      <c r="H179" s="27">
        <v>4.9</v>
      </c>
      <c r="I179" s="27">
        <v>285.78</v>
      </c>
      <c r="J179" s="27">
        <v>342.94</v>
      </c>
      <c r="K179" s="29" t="str">
        <f t="shared" si="2"/>
        <v>03-2025</v>
      </c>
    </row>
    <row r="180" ht="15" customHeight="1" spans="1:11">
      <c r="A180" t="s">
        <v>722</v>
      </c>
      <c r="B180" s="41">
        <v>45454</v>
      </c>
      <c r="C180" t="s">
        <v>82</v>
      </c>
      <c r="D180" t="s">
        <v>489</v>
      </c>
      <c r="E180" t="s">
        <v>499</v>
      </c>
      <c r="F180" t="s">
        <v>537</v>
      </c>
      <c r="G180" t="s">
        <v>545</v>
      </c>
      <c r="H180" s="27">
        <v>4.9</v>
      </c>
      <c r="I180" s="27">
        <v>1156.63</v>
      </c>
      <c r="J180" s="27">
        <v>1387.96</v>
      </c>
      <c r="K180" s="29" t="str">
        <f t="shared" si="2"/>
        <v>06-2024</v>
      </c>
    </row>
    <row r="181" ht="15" customHeight="1" spans="1:11">
      <c r="A181" t="s">
        <v>723</v>
      </c>
      <c r="B181" s="41">
        <v>45325</v>
      </c>
      <c r="C181" t="s">
        <v>228</v>
      </c>
      <c r="D181" t="s">
        <v>482</v>
      </c>
      <c r="E181" t="s">
        <v>500</v>
      </c>
      <c r="F181" t="s">
        <v>537</v>
      </c>
      <c r="G181" t="s">
        <v>540</v>
      </c>
      <c r="H181" s="27">
        <v>7.9</v>
      </c>
      <c r="I181" s="27">
        <v>1064.2</v>
      </c>
      <c r="J181" s="27">
        <v>1277.04</v>
      </c>
      <c r="K181" s="29" t="str">
        <f t="shared" si="2"/>
        <v>02-2024</v>
      </c>
    </row>
    <row r="182" ht="15" customHeight="1" spans="1:11">
      <c r="A182" t="s">
        <v>724</v>
      </c>
      <c r="B182" s="41">
        <v>45777</v>
      </c>
      <c r="C182" t="s">
        <v>263</v>
      </c>
      <c r="D182" t="s">
        <v>494</v>
      </c>
      <c r="E182" t="s">
        <v>500</v>
      </c>
      <c r="F182" t="s">
        <v>537</v>
      </c>
      <c r="G182" t="s">
        <v>540</v>
      </c>
      <c r="H182" s="27">
        <v>0</v>
      </c>
      <c r="I182" s="27">
        <v>41.42</v>
      </c>
      <c r="J182" s="27">
        <v>49.7</v>
      </c>
      <c r="K182" s="29" t="str">
        <f t="shared" si="2"/>
        <v>04-2025</v>
      </c>
    </row>
    <row r="183" ht="15" customHeight="1" spans="1:11">
      <c r="A183" t="s">
        <v>725</v>
      </c>
      <c r="B183" s="41">
        <v>45511</v>
      </c>
      <c r="C183" t="s">
        <v>334</v>
      </c>
      <c r="D183" t="s">
        <v>488</v>
      </c>
      <c r="E183" t="s">
        <v>498</v>
      </c>
      <c r="F183" t="s">
        <v>537</v>
      </c>
      <c r="G183" t="s">
        <v>540</v>
      </c>
      <c r="H183" s="27">
        <v>12.5</v>
      </c>
      <c r="I183" s="27">
        <v>2505.38</v>
      </c>
      <c r="J183" s="27">
        <v>3006.46</v>
      </c>
      <c r="K183" s="29" t="str">
        <f t="shared" si="2"/>
        <v>08-2024</v>
      </c>
    </row>
    <row r="184" ht="15" customHeight="1" spans="1:11">
      <c r="A184" t="s">
        <v>726</v>
      </c>
      <c r="B184" s="41">
        <v>45954</v>
      </c>
      <c r="C184" t="s">
        <v>133</v>
      </c>
      <c r="D184" t="s">
        <v>495</v>
      </c>
      <c r="E184" t="s">
        <v>501</v>
      </c>
      <c r="F184" t="s">
        <v>537</v>
      </c>
      <c r="G184" t="s">
        <v>540</v>
      </c>
      <c r="H184" s="27">
        <v>7.9</v>
      </c>
      <c r="I184" s="27">
        <v>201.64</v>
      </c>
      <c r="J184" s="27">
        <v>241.97</v>
      </c>
      <c r="K184" s="29" t="str">
        <f t="shared" si="2"/>
        <v>10-2025</v>
      </c>
    </row>
    <row r="185" ht="15" customHeight="1" spans="1:11">
      <c r="A185" t="s">
        <v>727</v>
      </c>
      <c r="B185" s="41">
        <v>45985</v>
      </c>
      <c r="C185" t="s">
        <v>245</v>
      </c>
      <c r="D185" t="s">
        <v>495</v>
      </c>
      <c r="E185" t="s">
        <v>499</v>
      </c>
      <c r="F185" t="s">
        <v>537</v>
      </c>
      <c r="G185" t="s">
        <v>545</v>
      </c>
      <c r="H185" s="27">
        <v>7.9</v>
      </c>
      <c r="I185" s="27">
        <v>844.06</v>
      </c>
      <c r="J185" s="27">
        <v>1012.87</v>
      </c>
      <c r="K185" s="29" t="str">
        <f t="shared" si="2"/>
        <v>11-2025</v>
      </c>
    </row>
    <row r="186" ht="15" customHeight="1" spans="1:11">
      <c r="A186" t="s">
        <v>728</v>
      </c>
      <c r="B186" s="41">
        <v>45636</v>
      </c>
      <c r="C186" t="s">
        <v>172</v>
      </c>
      <c r="D186" t="s">
        <v>491</v>
      </c>
      <c r="E186" t="s">
        <v>500</v>
      </c>
      <c r="F186" t="s">
        <v>537</v>
      </c>
      <c r="G186" t="s">
        <v>540</v>
      </c>
      <c r="H186" s="27">
        <v>4.9</v>
      </c>
      <c r="I186" s="27">
        <v>45.63</v>
      </c>
      <c r="J186" s="27">
        <v>54.76</v>
      </c>
      <c r="K186" s="29" t="str">
        <f t="shared" si="2"/>
        <v>12-2024</v>
      </c>
    </row>
    <row r="187" ht="15" customHeight="1" spans="1:11">
      <c r="A187" t="s">
        <v>729</v>
      </c>
      <c r="B187" s="41">
        <v>45906</v>
      </c>
      <c r="C187" t="s">
        <v>211</v>
      </c>
      <c r="D187" t="s">
        <v>491</v>
      </c>
      <c r="E187" t="s">
        <v>498</v>
      </c>
      <c r="F187" t="s">
        <v>537</v>
      </c>
      <c r="G187" t="s">
        <v>557</v>
      </c>
      <c r="H187" s="27">
        <v>7.9</v>
      </c>
      <c r="I187" s="27">
        <v>29.36</v>
      </c>
      <c r="J187" s="27">
        <v>35.23</v>
      </c>
      <c r="K187" s="29" t="str">
        <f t="shared" si="2"/>
        <v>09-2025</v>
      </c>
    </row>
    <row r="188" ht="15" customHeight="1" spans="1:11">
      <c r="A188" t="s">
        <v>730</v>
      </c>
      <c r="B188" s="41">
        <v>45328</v>
      </c>
      <c r="C188" t="s">
        <v>261</v>
      </c>
      <c r="D188" t="s">
        <v>495</v>
      </c>
      <c r="E188" t="s">
        <v>498</v>
      </c>
      <c r="F188" t="s">
        <v>537</v>
      </c>
      <c r="G188" t="s">
        <v>538</v>
      </c>
      <c r="H188" s="27">
        <v>12.5</v>
      </c>
      <c r="I188" s="27">
        <v>1123.32</v>
      </c>
      <c r="J188" s="27">
        <v>1347.98</v>
      </c>
      <c r="K188" s="29" t="str">
        <f t="shared" si="2"/>
        <v>02-2024</v>
      </c>
    </row>
    <row r="189" ht="15" customHeight="1" spans="1:11">
      <c r="A189" t="s">
        <v>731</v>
      </c>
      <c r="B189" s="41">
        <v>45864</v>
      </c>
      <c r="C189" t="s">
        <v>309</v>
      </c>
      <c r="D189" t="s">
        <v>486</v>
      </c>
      <c r="E189" t="s">
        <v>500</v>
      </c>
      <c r="F189" t="s">
        <v>537</v>
      </c>
      <c r="G189" t="s">
        <v>538</v>
      </c>
      <c r="H189" s="27">
        <v>7.9</v>
      </c>
      <c r="I189" s="27">
        <v>122</v>
      </c>
      <c r="J189" s="27">
        <v>146.4</v>
      </c>
      <c r="K189" s="29" t="str">
        <f t="shared" si="2"/>
        <v>07-2025</v>
      </c>
    </row>
    <row r="190" ht="15" customHeight="1" spans="1:11">
      <c r="A190" t="s">
        <v>732</v>
      </c>
      <c r="B190" s="41">
        <v>45672</v>
      </c>
      <c r="C190" t="s">
        <v>168</v>
      </c>
      <c r="D190" t="s">
        <v>495</v>
      </c>
      <c r="E190" t="s">
        <v>500</v>
      </c>
      <c r="F190" t="s">
        <v>537</v>
      </c>
      <c r="G190" t="s">
        <v>545</v>
      </c>
      <c r="H190" s="27">
        <v>12.5</v>
      </c>
      <c r="I190" s="27">
        <v>124.33</v>
      </c>
      <c r="J190" s="27">
        <v>149.2</v>
      </c>
      <c r="K190" s="29" t="str">
        <f t="shared" si="2"/>
        <v>01-2025</v>
      </c>
    </row>
    <row r="191" ht="15" customHeight="1" spans="1:11">
      <c r="A191" t="s">
        <v>733</v>
      </c>
      <c r="B191" s="41">
        <v>45364</v>
      </c>
      <c r="C191" t="s">
        <v>232</v>
      </c>
      <c r="D191" t="s">
        <v>488</v>
      </c>
      <c r="E191" t="s">
        <v>501</v>
      </c>
      <c r="F191" t="s">
        <v>537</v>
      </c>
      <c r="G191" t="s">
        <v>557</v>
      </c>
      <c r="H191" s="27">
        <v>7.9</v>
      </c>
      <c r="I191" s="27">
        <v>199.84</v>
      </c>
      <c r="J191" s="27">
        <v>239.81</v>
      </c>
      <c r="K191" s="29" t="str">
        <f t="shared" si="2"/>
        <v>03-2024</v>
      </c>
    </row>
    <row r="192" ht="15" customHeight="1" spans="1:11">
      <c r="A192" t="s">
        <v>734</v>
      </c>
      <c r="B192" s="41">
        <v>45760</v>
      </c>
      <c r="C192" t="s">
        <v>118</v>
      </c>
      <c r="D192" t="s">
        <v>491</v>
      </c>
      <c r="E192" t="s">
        <v>498</v>
      </c>
      <c r="F192" t="s">
        <v>537</v>
      </c>
      <c r="G192" t="s">
        <v>557</v>
      </c>
      <c r="H192" s="27">
        <v>7.9</v>
      </c>
      <c r="I192" s="27">
        <v>2440.82</v>
      </c>
      <c r="J192" s="27">
        <v>2928.98</v>
      </c>
      <c r="K192" s="29" t="str">
        <f t="shared" si="2"/>
        <v>04-2025</v>
      </c>
    </row>
    <row r="193" ht="15" customHeight="1" spans="1:11">
      <c r="A193" t="s">
        <v>735</v>
      </c>
      <c r="B193" s="41">
        <v>45464</v>
      </c>
      <c r="C193" t="s">
        <v>259</v>
      </c>
      <c r="D193" t="s">
        <v>486</v>
      </c>
      <c r="E193" t="s">
        <v>499</v>
      </c>
      <c r="F193" t="s">
        <v>537</v>
      </c>
      <c r="G193" t="s">
        <v>545</v>
      </c>
      <c r="H193" s="27">
        <v>4.9</v>
      </c>
      <c r="I193" s="27">
        <v>326.26</v>
      </c>
      <c r="J193" s="27">
        <v>391.51</v>
      </c>
      <c r="K193" s="29" t="str">
        <f t="shared" si="2"/>
        <v>06-2024</v>
      </c>
    </row>
    <row r="194" ht="15" customHeight="1" spans="1:11">
      <c r="A194" t="s">
        <v>736</v>
      </c>
      <c r="B194" s="41">
        <v>45838</v>
      </c>
      <c r="C194" t="s">
        <v>142</v>
      </c>
      <c r="D194" t="s">
        <v>491</v>
      </c>
      <c r="E194" t="s">
        <v>501</v>
      </c>
      <c r="F194" t="s">
        <v>537</v>
      </c>
      <c r="G194" t="s">
        <v>538</v>
      </c>
      <c r="H194" s="27">
        <v>0</v>
      </c>
      <c r="I194" s="27">
        <v>471.36</v>
      </c>
      <c r="J194" s="27">
        <v>565.63</v>
      </c>
      <c r="K194" s="29" t="str">
        <f t="shared" si="2"/>
        <v>06-2025</v>
      </c>
    </row>
    <row r="195" ht="15" customHeight="1" spans="1:11">
      <c r="A195" t="s">
        <v>737</v>
      </c>
      <c r="B195" s="41">
        <v>45894</v>
      </c>
      <c r="C195" t="s">
        <v>183</v>
      </c>
      <c r="D195" t="s">
        <v>486</v>
      </c>
      <c r="E195" t="s">
        <v>501</v>
      </c>
      <c r="F195" t="s">
        <v>537</v>
      </c>
      <c r="G195" t="s">
        <v>540</v>
      </c>
      <c r="H195" s="27">
        <v>7.9</v>
      </c>
      <c r="I195" s="27">
        <v>888.08</v>
      </c>
      <c r="J195" s="27">
        <v>1065.7</v>
      </c>
      <c r="K195" s="29" t="str">
        <f t="shared" ref="K195:K258" si="3">TEXT(B195,"mm-yyyy")</f>
        <v>08-2025</v>
      </c>
    </row>
    <row r="196" ht="15" customHeight="1" spans="1:11">
      <c r="A196" t="s">
        <v>738</v>
      </c>
      <c r="B196" s="41">
        <v>45642</v>
      </c>
      <c r="C196" t="s">
        <v>347</v>
      </c>
      <c r="D196" t="s">
        <v>493</v>
      </c>
      <c r="E196" t="s">
        <v>500</v>
      </c>
      <c r="F196" t="s">
        <v>537</v>
      </c>
      <c r="G196" t="s">
        <v>538</v>
      </c>
      <c r="H196" s="27">
        <v>12.5</v>
      </c>
      <c r="I196" s="27">
        <v>92.21</v>
      </c>
      <c r="J196" s="27">
        <v>110.65</v>
      </c>
      <c r="K196" s="29" t="str">
        <f t="shared" si="3"/>
        <v>12-2024</v>
      </c>
    </row>
    <row r="197" ht="15" customHeight="1" spans="1:11">
      <c r="A197" t="s">
        <v>739</v>
      </c>
      <c r="B197" s="41">
        <v>45508</v>
      </c>
      <c r="C197" t="s">
        <v>301</v>
      </c>
      <c r="D197" t="s">
        <v>482</v>
      </c>
      <c r="E197" t="s">
        <v>498</v>
      </c>
      <c r="F197" t="s">
        <v>537</v>
      </c>
      <c r="G197" t="s">
        <v>545</v>
      </c>
      <c r="H197" s="27">
        <v>12.5</v>
      </c>
      <c r="I197" s="27">
        <v>1104.33</v>
      </c>
      <c r="J197" s="27">
        <v>1325.2</v>
      </c>
      <c r="K197" s="29" t="str">
        <f t="shared" si="3"/>
        <v>08-2024</v>
      </c>
    </row>
    <row r="198" ht="15" customHeight="1" spans="1:11">
      <c r="A198" t="s">
        <v>740</v>
      </c>
      <c r="B198" s="41">
        <v>45746</v>
      </c>
      <c r="C198" t="s">
        <v>205</v>
      </c>
      <c r="D198" t="s">
        <v>484</v>
      </c>
      <c r="E198" t="s">
        <v>500</v>
      </c>
      <c r="F198" t="s">
        <v>537</v>
      </c>
      <c r="G198" t="s">
        <v>538</v>
      </c>
      <c r="H198" s="27">
        <v>4.9</v>
      </c>
      <c r="I198" s="27">
        <v>151.17</v>
      </c>
      <c r="J198" s="27">
        <v>181.4</v>
      </c>
      <c r="K198" s="29" t="str">
        <f t="shared" si="3"/>
        <v>03-2025</v>
      </c>
    </row>
    <row r="199" ht="15" customHeight="1" spans="1:11">
      <c r="A199" t="s">
        <v>741</v>
      </c>
      <c r="B199" s="41">
        <v>45432</v>
      </c>
      <c r="C199" t="s">
        <v>215</v>
      </c>
      <c r="D199" t="s">
        <v>484</v>
      </c>
      <c r="E199" t="s">
        <v>501</v>
      </c>
      <c r="F199" t="s">
        <v>537</v>
      </c>
      <c r="G199" t="s">
        <v>545</v>
      </c>
      <c r="H199" s="27">
        <v>12.5</v>
      </c>
      <c r="I199" s="27">
        <v>1049.06</v>
      </c>
      <c r="J199" s="27">
        <v>1258.87</v>
      </c>
      <c r="K199" s="29" t="str">
        <f t="shared" si="3"/>
        <v>05-2024</v>
      </c>
    </row>
    <row r="200" ht="15" customHeight="1" spans="1:11">
      <c r="A200" t="s">
        <v>742</v>
      </c>
      <c r="B200" s="41">
        <v>45498</v>
      </c>
      <c r="C200" t="s">
        <v>197</v>
      </c>
      <c r="D200" t="s">
        <v>492</v>
      </c>
      <c r="E200" t="s">
        <v>500</v>
      </c>
      <c r="F200" t="s">
        <v>537</v>
      </c>
      <c r="G200" t="s">
        <v>557</v>
      </c>
      <c r="H200" s="27">
        <v>4.9</v>
      </c>
      <c r="I200" s="27">
        <v>3561.38</v>
      </c>
      <c r="J200" s="27">
        <v>4273.66</v>
      </c>
      <c r="K200" s="29" t="str">
        <f t="shared" si="3"/>
        <v>07-2024</v>
      </c>
    </row>
    <row r="201" ht="15" customHeight="1" spans="1:11">
      <c r="A201" t="s">
        <v>743</v>
      </c>
      <c r="B201" s="41">
        <v>45384</v>
      </c>
      <c r="C201" t="s">
        <v>313</v>
      </c>
      <c r="D201" t="s">
        <v>494</v>
      </c>
      <c r="E201" t="s">
        <v>501</v>
      </c>
      <c r="F201" t="s">
        <v>537</v>
      </c>
      <c r="G201" t="s">
        <v>545</v>
      </c>
      <c r="H201" s="27">
        <v>7.9</v>
      </c>
      <c r="I201" s="27">
        <v>627.02</v>
      </c>
      <c r="J201" s="27">
        <v>752.42</v>
      </c>
      <c r="K201" s="29" t="str">
        <f t="shared" si="3"/>
        <v>04-2024</v>
      </c>
    </row>
    <row r="202" ht="15" customHeight="1" spans="1:11">
      <c r="A202" t="s">
        <v>744</v>
      </c>
      <c r="B202" s="41">
        <v>45470</v>
      </c>
      <c r="C202" t="s">
        <v>338</v>
      </c>
      <c r="D202" t="s">
        <v>482</v>
      </c>
      <c r="E202" t="s">
        <v>500</v>
      </c>
      <c r="F202" t="s">
        <v>537</v>
      </c>
      <c r="G202" t="s">
        <v>540</v>
      </c>
      <c r="H202" s="27">
        <v>12.5</v>
      </c>
      <c r="I202" s="27">
        <v>3992</v>
      </c>
      <c r="J202" s="27">
        <v>4790.4</v>
      </c>
      <c r="K202" s="29" t="str">
        <f t="shared" si="3"/>
        <v>06-2024</v>
      </c>
    </row>
    <row r="203" ht="15" customHeight="1" spans="1:11">
      <c r="A203" t="s">
        <v>745</v>
      </c>
      <c r="B203" s="41">
        <v>45740</v>
      </c>
      <c r="C203" t="s">
        <v>272</v>
      </c>
      <c r="D203" t="s">
        <v>489</v>
      </c>
      <c r="E203" t="s">
        <v>501</v>
      </c>
      <c r="F203" t="s">
        <v>537</v>
      </c>
      <c r="G203" t="s">
        <v>540</v>
      </c>
      <c r="H203" s="27">
        <v>4.9</v>
      </c>
      <c r="I203" s="27">
        <v>293.54</v>
      </c>
      <c r="J203" s="27">
        <v>352.25</v>
      </c>
      <c r="K203" s="29" t="str">
        <f t="shared" si="3"/>
        <v>03-2025</v>
      </c>
    </row>
    <row r="204" ht="15" customHeight="1" spans="1:11">
      <c r="A204" t="s">
        <v>746</v>
      </c>
      <c r="B204" s="41">
        <v>45686</v>
      </c>
      <c r="C204" t="s">
        <v>290</v>
      </c>
      <c r="D204" t="s">
        <v>493</v>
      </c>
      <c r="E204" t="s">
        <v>499</v>
      </c>
      <c r="F204" t="s">
        <v>537</v>
      </c>
      <c r="G204" t="s">
        <v>538</v>
      </c>
      <c r="H204" s="27">
        <v>0</v>
      </c>
      <c r="I204" s="27">
        <v>30.71</v>
      </c>
      <c r="J204" s="27">
        <v>36.85</v>
      </c>
      <c r="K204" s="29" t="str">
        <f t="shared" si="3"/>
        <v>01-2025</v>
      </c>
    </row>
    <row r="205" ht="15" customHeight="1" spans="1:11">
      <c r="A205" t="s">
        <v>747</v>
      </c>
      <c r="B205" s="41">
        <v>45398</v>
      </c>
      <c r="C205" t="s">
        <v>215</v>
      </c>
      <c r="D205" t="s">
        <v>495</v>
      </c>
      <c r="E205" t="s">
        <v>499</v>
      </c>
      <c r="F205" t="s">
        <v>537</v>
      </c>
      <c r="G205" t="s">
        <v>557</v>
      </c>
      <c r="H205" s="27">
        <v>4.9</v>
      </c>
      <c r="I205" s="27">
        <v>295.17</v>
      </c>
      <c r="J205" s="27">
        <v>354.2</v>
      </c>
      <c r="K205" s="29" t="str">
        <f t="shared" si="3"/>
        <v>04-2024</v>
      </c>
    </row>
    <row r="206" ht="15" customHeight="1" spans="1:11">
      <c r="A206" t="s">
        <v>748</v>
      </c>
      <c r="B206" s="41">
        <v>45425</v>
      </c>
      <c r="C206" t="s">
        <v>234</v>
      </c>
      <c r="D206" t="s">
        <v>493</v>
      </c>
      <c r="E206" t="s">
        <v>501</v>
      </c>
      <c r="F206" t="s">
        <v>537</v>
      </c>
      <c r="G206" t="s">
        <v>557</v>
      </c>
      <c r="H206" s="27">
        <v>0</v>
      </c>
      <c r="I206" s="27">
        <v>60.18</v>
      </c>
      <c r="J206" s="27">
        <v>72.22</v>
      </c>
      <c r="K206" s="29" t="str">
        <f t="shared" si="3"/>
        <v>05-2024</v>
      </c>
    </row>
    <row r="207" ht="15" customHeight="1" spans="1:11">
      <c r="A207" t="s">
        <v>749</v>
      </c>
      <c r="B207" s="41">
        <v>45986</v>
      </c>
      <c r="C207" t="s">
        <v>247</v>
      </c>
      <c r="D207" t="s">
        <v>495</v>
      </c>
      <c r="E207" t="s">
        <v>498</v>
      </c>
      <c r="F207" t="s">
        <v>542</v>
      </c>
      <c r="G207" t="s">
        <v>540</v>
      </c>
      <c r="H207" s="27">
        <v>0</v>
      </c>
      <c r="I207" s="27">
        <v>144.39</v>
      </c>
      <c r="J207" s="27">
        <v>173.27</v>
      </c>
      <c r="K207" s="29" t="str">
        <f t="shared" si="3"/>
        <v>11-2025</v>
      </c>
    </row>
    <row r="208" ht="15" customHeight="1" spans="1:11">
      <c r="A208" t="s">
        <v>750</v>
      </c>
      <c r="B208" s="41">
        <v>45444</v>
      </c>
      <c r="C208" t="s">
        <v>330</v>
      </c>
      <c r="D208" t="s">
        <v>494</v>
      </c>
      <c r="E208" t="s">
        <v>501</v>
      </c>
      <c r="F208" t="s">
        <v>537</v>
      </c>
      <c r="G208" t="s">
        <v>538</v>
      </c>
      <c r="H208" s="27">
        <v>12.5</v>
      </c>
      <c r="I208" s="27">
        <v>786.44</v>
      </c>
      <c r="J208" s="27">
        <v>943.73</v>
      </c>
      <c r="K208" s="29" t="str">
        <f t="shared" si="3"/>
        <v>06-2024</v>
      </c>
    </row>
    <row r="209" ht="15" customHeight="1" spans="1:11">
      <c r="A209" t="s">
        <v>751</v>
      </c>
      <c r="B209" s="41">
        <v>45372</v>
      </c>
      <c r="C209" t="s">
        <v>228</v>
      </c>
      <c r="D209" t="s">
        <v>493</v>
      </c>
      <c r="E209" t="s">
        <v>499</v>
      </c>
      <c r="F209" t="s">
        <v>537</v>
      </c>
      <c r="G209" t="s">
        <v>557</v>
      </c>
      <c r="H209" s="27">
        <v>12.5</v>
      </c>
      <c r="I209" s="27">
        <v>939.49</v>
      </c>
      <c r="J209" s="27">
        <v>1127.39</v>
      </c>
      <c r="K209" s="29" t="str">
        <f t="shared" si="3"/>
        <v>03-2024</v>
      </c>
    </row>
    <row r="210" ht="15" customHeight="1" spans="1:11">
      <c r="A210" t="s">
        <v>752</v>
      </c>
      <c r="B210" s="41">
        <v>45862</v>
      </c>
      <c r="C210" t="s">
        <v>253</v>
      </c>
      <c r="D210" t="s">
        <v>482</v>
      </c>
      <c r="E210" t="s">
        <v>501</v>
      </c>
      <c r="F210" t="s">
        <v>537</v>
      </c>
      <c r="G210" t="s">
        <v>540</v>
      </c>
      <c r="H210" s="27">
        <v>4.9</v>
      </c>
      <c r="I210" s="27">
        <v>1120.17</v>
      </c>
      <c r="J210" s="27">
        <v>1344.2</v>
      </c>
      <c r="K210" s="29" t="str">
        <f t="shared" si="3"/>
        <v>07-2025</v>
      </c>
    </row>
    <row r="211" ht="15" customHeight="1" spans="1:11">
      <c r="A211" t="s">
        <v>753</v>
      </c>
      <c r="B211" s="41">
        <v>45906</v>
      </c>
      <c r="C211" t="s">
        <v>232</v>
      </c>
      <c r="D211" t="s">
        <v>491</v>
      </c>
      <c r="E211" t="s">
        <v>499</v>
      </c>
      <c r="F211" t="s">
        <v>537</v>
      </c>
      <c r="G211" t="s">
        <v>538</v>
      </c>
      <c r="H211" s="27">
        <v>0</v>
      </c>
      <c r="I211" s="27">
        <v>1269.57</v>
      </c>
      <c r="J211" s="27">
        <v>1523.48</v>
      </c>
      <c r="K211" s="29" t="str">
        <f t="shared" si="3"/>
        <v>09-2025</v>
      </c>
    </row>
    <row r="212" ht="15" customHeight="1" spans="1:11">
      <c r="A212" t="s">
        <v>754</v>
      </c>
      <c r="B212" s="41">
        <v>45400</v>
      </c>
      <c r="C212" t="s">
        <v>66</v>
      </c>
      <c r="D212" t="s">
        <v>486</v>
      </c>
      <c r="E212" t="s">
        <v>499</v>
      </c>
      <c r="F212" t="s">
        <v>537</v>
      </c>
      <c r="G212" t="s">
        <v>557</v>
      </c>
      <c r="H212" s="27">
        <v>0</v>
      </c>
      <c r="I212" s="27">
        <v>364.71</v>
      </c>
      <c r="J212" s="27">
        <v>437.65</v>
      </c>
      <c r="K212" s="29" t="str">
        <f t="shared" si="3"/>
        <v>04-2024</v>
      </c>
    </row>
    <row r="213" ht="15" customHeight="1" spans="1:11">
      <c r="A213" t="s">
        <v>755</v>
      </c>
      <c r="B213" s="41">
        <v>45512</v>
      </c>
      <c r="C213" t="s">
        <v>228</v>
      </c>
      <c r="D213" t="s">
        <v>488</v>
      </c>
      <c r="E213" t="s">
        <v>500</v>
      </c>
      <c r="F213" t="s">
        <v>537</v>
      </c>
      <c r="G213" t="s">
        <v>557</v>
      </c>
      <c r="H213" s="27">
        <v>0</v>
      </c>
      <c r="I213" s="27">
        <v>2217.74</v>
      </c>
      <c r="J213" s="27">
        <v>2661.29</v>
      </c>
      <c r="K213" s="29" t="str">
        <f t="shared" si="3"/>
        <v>08-2024</v>
      </c>
    </row>
    <row r="214" ht="15" customHeight="1" spans="1:11">
      <c r="A214" t="s">
        <v>756</v>
      </c>
      <c r="B214" s="41">
        <v>45735</v>
      </c>
      <c r="C214" t="s">
        <v>330</v>
      </c>
      <c r="D214" t="s">
        <v>495</v>
      </c>
      <c r="E214" t="s">
        <v>499</v>
      </c>
      <c r="F214" t="s">
        <v>547</v>
      </c>
      <c r="G214" t="s">
        <v>538</v>
      </c>
      <c r="H214" s="27">
        <v>4.9</v>
      </c>
      <c r="I214" s="27">
        <v>2357.44</v>
      </c>
      <c r="J214" s="27">
        <v>2828.93</v>
      </c>
      <c r="K214" s="29" t="str">
        <f t="shared" si="3"/>
        <v>03-2025</v>
      </c>
    </row>
    <row r="215" ht="15" customHeight="1" spans="1:11">
      <c r="A215" t="s">
        <v>757</v>
      </c>
      <c r="B215" s="41">
        <v>45915</v>
      </c>
      <c r="C215" t="s">
        <v>351</v>
      </c>
      <c r="D215" t="s">
        <v>488</v>
      </c>
      <c r="E215" t="s">
        <v>500</v>
      </c>
      <c r="F215" t="s">
        <v>537</v>
      </c>
      <c r="G215" t="s">
        <v>540</v>
      </c>
      <c r="H215" s="27">
        <v>7.9</v>
      </c>
      <c r="I215" s="27">
        <v>275.21</v>
      </c>
      <c r="J215" s="27">
        <v>330.25</v>
      </c>
      <c r="K215" s="29" t="str">
        <f t="shared" si="3"/>
        <v>09-2025</v>
      </c>
    </row>
    <row r="216" ht="15" customHeight="1" spans="1:11">
      <c r="A216" t="s">
        <v>758</v>
      </c>
      <c r="B216" s="41">
        <v>45598</v>
      </c>
      <c r="C216" t="s">
        <v>330</v>
      </c>
      <c r="D216" t="s">
        <v>494</v>
      </c>
      <c r="E216" t="s">
        <v>500</v>
      </c>
      <c r="F216" t="s">
        <v>537</v>
      </c>
      <c r="G216" t="s">
        <v>538</v>
      </c>
      <c r="H216" s="27">
        <v>4.9</v>
      </c>
      <c r="I216" s="27">
        <v>54.43</v>
      </c>
      <c r="J216" s="27">
        <v>65.32</v>
      </c>
      <c r="K216" s="29" t="str">
        <f t="shared" si="3"/>
        <v>11-2024</v>
      </c>
    </row>
    <row r="217" ht="15" customHeight="1" spans="1:11">
      <c r="A217" t="s">
        <v>759</v>
      </c>
      <c r="B217" s="41">
        <v>45980</v>
      </c>
      <c r="C217" t="s">
        <v>111</v>
      </c>
      <c r="D217" t="s">
        <v>486</v>
      </c>
      <c r="E217" t="s">
        <v>500</v>
      </c>
      <c r="F217" t="s">
        <v>537</v>
      </c>
      <c r="G217" t="s">
        <v>540</v>
      </c>
      <c r="H217" s="27">
        <v>12.5</v>
      </c>
      <c r="I217" s="27">
        <v>294.06</v>
      </c>
      <c r="J217" s="27">
        <v>352.87</v>
      </c>
      <c r="K217" s="29" t="str">
        <f t="shared" si="3"/>
        <v>11-2025</v>
      </c>
    </row>
    <row r="218" ht="15" customHeight="1" spans="1:11">
      <c r="A218" t="s">
        <v>760</v>
      </c>
      <c r="B218" s="41">
        <v>45584</v>
      </c>
      <c r="C218" t="s">
        <v>340</v>
      </c>
      <c r="D218" t="s">
        <v>492</v>
      </c>
      <c r="E218" t="s">
        <v>501</v>
      </c>
      <c r="F218" t="s">
        <v>537</v>
      </c>
      <c r="G218" t="s">
        <v>545</v>
      </c>
      <c r="H218" s="27">
        <v>12.5</v>
      </c>
      <c r="I218" s="27">
        <v>72.33</v>
      </c>
      <c r="J218" s="27">
        <v>86.8</v>
      </c>
      <c r="K218" s="29" t="str">
        <f t="shared" si="3"/>
        <v>10-2024</v>
      </c>
    </row>
    <row r="219" ht="15" customHeight="1" spans="1:11">
      <c r="A219" t="s">
        <v>761</v>
      </c>
      <c r="B219" s="41">
        <v>45456</v>
      </c>
      <c r="C219" t="s">
        <v>175</v>
      </c>
      <c r="D219" t="s">
        <v>489</v>
      </c>
      <c r="E219" t="s">
        <v>498</v>
      </c>
      <c r="F219" t="s">
        <v>537</v>
      </c>
      <c r="G219" t="s">
        <v>540</v>
      </c>
      <c r="H219" s="27">
        <v>4.9</v>
      </c>
      <c r="I219" s="27">
        <v>348.93</v>
      </c>
      <c r="J219" s="27">
        <v>418.72</v>
      </c>
      <c r="K219" s="29" t="str">
        <f t="shared" si="3"/>
        <v>06-2024</v>
      </c>
    </row>
    <row r="220" ht="15" customHeight="1" spans="1:11">
      <c r="A220" t="s">
        <v>762</v>
      </c>
      <c r="B220" s="41">
        <v>45954</v>
      </c>
      <c r="C220" t="s">
        <v>255</v>
      </c>
      <c r="D220" t="s">
        <v>492</v>
      </c>
      <c r="E220" t="s">
        <v>498</v>
      </c>
      <c r="F220" t="s">
        <v>537</v>
      </c>
      <c r="G220" t="s">
        <v>540</v>
      </c>
      <c r="H220" s="27">
        <v>0</v>
      </c>
      <c r="I220" s="27">
        <v>5289.99</v>
      </c>
      <c r="J220" s="27">
        <v>6347.99</v>
      </c>
      <c r="K220" s="29" t="str">
        <f t="shared" si="3"/>
        <v>10-2025</v>
      </c>
    </row>
    <row r="221" ht="15" customHeight="1" spans="1:11">
      <c r="A221" t="s">
        <v>763</v>
      </c>
      <c r="B221" s="41">
        <v>45522</v>
      </c>
      <c r="C221" t="s">
        <v>349</v>
      </c>
      <c r="D221" t="s">
        <v>491</v>
      </c>
      <c r="E221" t="s">
        <v>498</v>
      </c>
      <c r="F221" t="s">
        <v>537</v>
      </c>
      <c r="G221" t="s">
        <v>538</v>
      </c>
      <c r="H221" s="27">
        <v>7.9</v>
      </c>
      <c r="I221" s="27">
        <v>149</v>
      </c>
      <c r="J221" s="27">
        <v>178.8</v>
      </c>
      <c r="K221" s="29" t="str">
        <f t="shared" si="3"/>
        <v>08-2024</v>
      </c>
    </row>
    <row r="222" ht="15" customHeight="1" spans="1:11">
      <c r="A222" t="s">
        <v>764</v>
      </c>
      <c r="B222" s="41">
        <v>45333</v>
      </c>
      <c r="C222" t="s">
        <v>218</v>
      </c>
      <c r="D222" t="s">
        <v>489</v>
      </c>
      <c r="E222" t="s">
        <v>500</v>
      </c>
      <c r="F222" t="s">
        <v>537</v>
      </c>
      <c r="G222" t="s">
        <v>540</v>
      </c>
      <c r="H222" s="27">
        <v>0</v>
      </c>
      <c r="I222" s="27">
        <v>869.24</v>
      </c>
      <c r="J222" s="27">
        <v>1043.09</v>
      </c>
      <c r="K222" s="29" t="str">
        <f t="shared" si="3"/>
        <v>02-2024</v>
      </c>
    </row>
    <row r="223" ht="15" customHeight="1" spans="1:11">
      <c r="A223" t="s">
        <v>765</v>
      </c>
      <c r="B223" s="41">
        <v>45344</v>
      </c>
      <c r="C223" t="s">
        <v>313</v>
      </c>
      <c r="D223" t="s">
        <v>495</v>
      </c>
      <c r="E223" t="s">
        <v>500</v>
      </c>
      <c r="F223" t="s">
        <v>537</v>
      </c>
      <c r="G223" t="s">
        <v>540</v>
      </c>
      <c r="H223" s="27">
        <v>0</v>
      </c>
      <c r="I223" s="27">
        <v>641.61</v>
      </c>
      <c r="J223" s="27">
        <v>769.93</v>
      </c>
      <c r="K223" s="29" t="str">
        <f t="shared" si="3"/>
        <v>02-2024</v>
      </c>
    </row>
    <row r="224" ht="15" customHeight="1" spans="1:11">
      <c r="A224" t="s">
        <v>766</v>
      </c>
      <c r="B224" s="41">
        <v>45705</v>
      </c>
      <c r="C224" t="s">
        <v>95</v>
      </c>
      <c r="D224" t="s">
        <v>491</v>
      </c>
      <c r="E224" t="s">
        <v>498</v>
      </c>
      <c r="F224" t="s">
        <v>537</v>
      </c>
      <c r="G224" t="s">
        <v>540</v>
      </c>
      <c r="H224" s="27">
        <v>7.9</v>
      </c>
      <c r="I224" s="27">
        <v>2158.29</v>
      </c>
      <c r="J224" s="27">
        <v>2589.95</v>
      </c>
      <c r="K224" s="29" t="str">
        <f t="shared" si="3"/>
        <v>02-2025</v>
      </c>
    </row>
    <row r="225" ht="15" customHeight="1" spans="1:11">
      <c r="A225" t="s">
        <v>767</v>
      </c>
      <c r="B225" s="41">
        <v>45956</v>
      </c>
      <c r="C225" t="s">
        <v>39</v>
      </c>
      <c r="D225" t="s">
        <v>484</v>
      </c>
      <c r="E225" t="s">
        <v>500</v>
      </c>
      <c r="F225" t="s">
        <v>537</v>
      </c>
      <c r="G225" t="s">
        <v>538</v>
      </c>
      <c r="H225" s="27">
        <v>0</v>
      </c>
      <c r="I225" s="27">
        <v>199.32</v>
      </c>
      <c r="J225" s="27">
        <v>239.18</v>
      </c>
      <c r="K225" s="29" t="str">
        <f t="shared" si="3"/>
        <v>10-2025</v>
      </c>
    </row>
    <row r="226" ht="15" customHeight="1" spans="1:11">
      <c r="A226" t="s">
        <v>768</v>
      </c>
      <c r="B226" s="41">
        <v>45675</v>
      </c>
      <c r="C226" t="s">
        <v>243</v>
      </c>
      <c r="D226" t="s">
        <v>494</v>
      </c>
      <c r="E226" t="s">
        <v>499</v>
      </c>
      <c r="F226" t="s">
        <v>537</v>
      </c>
      <c r="G226" t="s">
        <v>540</v>
      </c>
      <c r="H226" s="27">
        <v>4.9</v>
      </c>
      <c r="I226" s="27">
        <v>490.4</v>
      </c>
      <c r="J226" s="27">
        <v>588.48</v>
      </c>
      <c r="K226" s="29" t="str">
        <f t="shared" si="3"/>
        <v>01-2025</v>
      </c>
    </row>
    <row r="227" ht="15" customHeight="1" spans="1:11">
      <c r="A227" t="s">
        <v>769</v>
      </c>
      <c r="B227" s="41">
        <v>45933</v>
      </c>
      <c r="C227" t="s">
        <v>82</v>
      </c>
      <c r="D227" t="s">
        <v>488</v>
      </c>
      <c r="E227" t="s">
        <v>498</v>
      </c>
      <c r="F227" t="s">
        <v>537</v>
      </c>
      <c r="G227" t="s">
        <v>557</v>
      </c>
      <c r="H227" s="27">
        <v>0</v>
      </c>
      <c r="I227" s="27">
        <v>150.14</v>
      </c>
      <c r="J227" s="27">
        <v>180.17</v>
      </c>
      <c r="K227" s="29" t="str">
        <f t="shared" si="3"/>
        <v>10-2025</v>
      </c>
    </row>
    <row r="228" ht="15" customHeight="1" spans="1:11">
      <c r="A228" t="s">
        <v>770</v>
      </c>
      <c r="B228" s="41">
        <v>45737</v>
      </c>
      <c r="C228" t="s">
        <v>278</v>
      </c>
      <c r="D228" t="s">
        <v>484</v>
      </c>
      <c r="E228" t="s">
        <v>498</v>
      </c>
      <c r="F228" t="s">
        <v>537</v>
      </c>
      <c r="G228" t="s">
        <v>540</v>
      </c>
      <c r="H228" s="27">
        <v>0</v>
      </c>
      <c r="I228" s="27">
        <v>251.56</v>
      </c>
      <c r="J228" s="27">
        <v>301.87</v>
      </c>
      <c r="K228" s="29" t="str">
        <f t="shared" si="3"/>
        <v>03-2025</v>
      </c>
    </row>
    <row r="229" ht="15" customHeight="1" spans="1:11">
      <c r="A229" t="s">
        <v>771</v>
      </c>
      <c r="B229" s="41">
        <v>45863</v>
      </c>
      <c r="C229" t="s">
        <v>86</v>
      </c>
      <c r="D229" t="s">
        <v>495</v>
      </c>
      <c r="E229" t="s">
        <v>498</v>
      </c>
      <c r="F229" t="s">
        <v>547</v>
      </c>
      <c r="G229" t="s">
        <v>557</v>
      </c>
      <c r="H229" s="27">
        <v>12.5</v>
      </c>
      <c r="I229" s="27">
        <v>131.42</v>
      </c>
      <c r="J229" s="27">
        <v>157.7</v>
      </c>
      <c r="K229" s="29" t="str">
        <f t="shared" si="3"/>
        <v>07-2025</v>
      </c>
    </row>
    <row r="230" ht="15" customHeight="1" spans="1:11">
      <c r="A230" t="s">
        <v>772</v>
      </c>
      <c r="B230" s="41">
        <v>45298</v>
      </c>
      <c r="C230" t="s">
        <v>278</v>
      </c>
      <c r="D230" t="s">
        <v>495</v>
      </c>
      <c r="E230" t="s">
        <v>501</v>
      </c>
      <c r="F230" t="s">
        <v>537</v>
      </c>
      <c r="G230" t="s">
        <v>545</v>
      </c>
      <c r="H230" s="27">
        <v>0</v>
      </c>
      <c r="I230" s="27">
        <v>560.84</v>
      </c>
      <c r="J230" s="27">
        <v>673.01</v>
      </c>
      <c r="K230" s="29" t="str">
        <f t="shared" si="3"/>
        <v>01-2024</v>
      </c>
    </row>
    <row r="231" ht="15" customHeight="1" spans="1:11">
      <c r="A231" t="s">
        <v>773</v>
      </c>
      <c r="B231" s="41">
        <v>45740</v>
      </c>
      <c r="C231" t="s">
        <v>205</v>
      </c>
      <c r="D231" t="s">
        <v>492</v>
      </c>
      <c r="E231" t="s">
        <v>501</v>
      </c>
      <c r="F231" t="s">
        <v>537</v>
      </c>
      <c r="G231" t="s">
        <v>538</v>
      </c>
      <c r="H231" s="27">
        <v>4.9</v>
      </c>
      <c r="I231" s="27">
        <v>569.06</v>
      </c>
      <c r="J231" s="27">
        <v>682.87</v>
      </c>
      <c r="K231" s="29" t="str">
        <f t="shared" si="3"/>
        <v>03-2025</v>
      </c>
    </row>
    <row r="232" ht="15" customHeight="1" spans="1:11">
      <c r="A232" t="s">
        <v>774</v>
      </c>
      <c r="B232" s="41">
        <v>45858</v>
      </c>
      <c r="C232" t="s">
        <v>338</v>
      </c>
      <c r="D232" t="s">
        <v>494</v>
      </c>
      <c r="E232" t="s">
        <v>498</v>
      </c>
      <c r="F232" t="s">
        <v>537</v>
      </c>
      <c r="G232" t="s">
        <v>545</v>
      </c>
      <c r="H232" s="27">
        <v>12.5</v>
      </c>
      <c r="I232" s="27">
        <v>224.07</v>
      </c>
      <c r="J232" s="27">
        <v>268.88</v>
      </c>
      <c r="K232" s="29" t="str">
        <f t="shared" si="3"/>
        <v>07-2025</v>
      </c>
    </row>
    <row r="233" ht="15" customHeight="1" spans="1:11">
      <c r="A233" t="s">
        <v>775</v>
      </c>
      <c r="B233" s="41">
        <v>45508</v>
      </c>
      <c r="C233" t="s">
        <v>213</v>
      </c>
      <c r="D233" t="s">
        <v>494</v>
      </c>
      <c r="E233" t="s">
        <v>498</v>
      </c>
      <c r="F233" t="s">
        <v>537</v>
      </c>
      <c r="G233" t="s">
        <v>538</v>
      </c>
      <c r="H233" s="27">
        <v>7.9</v>
      </c>
      <c r="I233" s="27">
        <v>414.05</v>
      </c>
      <c r="J233" s="27">
        <v>496.86</v>
      </c>
      <c r="K233" s="29" t="str">
        <f t="shared" si="3"/>
        <v>08-2024</v>
      </c>
    </row>
    <row r="234" ht="15" customHeight="1" spans="1:11">
      <c r="A234" t="s">
        <v>776</v>
      </c>
      <c r="B234" s="41">
        <v>45347</v>
      </c>
      <c r="C234" t="s">
        <v>332</v>
      </c>
      <c r="D234" t="s">
        <v>494</v>
      </c>
      <c r="E234" t="s">
        <v>499</v>
      </c>
      <c r="F234" t="s">
        <v>537</v>
      </c>
      <c r="G234" t="s">
        <v>545</v>
      </c>
      <c r="H234" s="27">
        <v>7.9</v>
      </c>
      <c r="I234" s="27">
        <v>1185.8</v>
      </c>
      <c r="J234" s="27">
        <v>1422.96</v>
      </c>
      <c r="K234" s="29" t="str">
        <f t="shared" si="3"/>
        <v>02-2024</v>
      </c>
    </row>
    <row r="235" ht="15" customHeight="1" spans="1:11">
      <c r="A235" t="s">
        <v>777</v>
      </c>
      <c r="B235" s="41">
        <v>45532</v>
      </c>
      <c r="C235" t="s">
        <v>99</v>
      </c>
      <c r="D235" t="s">
        <v>489</v>
      </c>
      <c r="E235" t="s">
        <v>501</v>
      </c>
      <c r="F235" t="s">
        <v>547</v>
      </c>
      <c r="G235" t="s">
        <v>540</v>
      </c>
      <c r="H235" s="27">
        <v>12.5</v>
      </c>
      <c r="I235" s="27">
        <v>1135.92</v>
      </c>
      <c r="J235" s="27">
        <v>1363.1</v>
      </c>
      <c r="K235" s="29" t="str">
        <f t="shared" si="3"/>
        <v>08-2024</v>
      </c>
    </row>
    <row r="236" ht="15" customHeight="1" spans="1:11">
      <c r="A236" t="s">
        <v>778</v>
      </c>
      <c r="B236" s="41">
        <v>45665</v>
      </c>
      <c r="C236" t="s">
        <v>322</v>
      </c>
      <c r="D236" t="s">
        <v>491</v>
      </c>
      <c r="E236" t="s">
        <v>499</v>
      </c>
      <c r="F236" t="s">
        <v>537</v>
      </c>
      <c r="G236" t="s">
        <v>540</v>
      </c>
      <c r="H236" s="27">
        <v>4.9</v>
      </c>
      <c r="I236" s="27">
        <v>413.12</v>
      </c>
      <c r="J236" s="27">
        <v>495.74</v>
      </c>
      <c r="K236" s="29" t="str">
        <f t="shared" si="3"/>
        <v>01-2025</v>
      </c>
    </row>
    <row r="237" ht="15" customHeight="1" spans="1:11">
      <c r="A237" t="s">
        <v>779</v>
      </c>
      <c r="B237" s="41">
        <v>45765</v>
      </c>
      <c r="C237" t="s">
        <v>226</v>
      </c>
      <c r="D237" t="s">
        <v>491</v>
      </c>
      <c r="E237" t="s">
        <v>500</v>
      </c>
      <c r="F237" t="s">
        <v>537</v>
      </c>
      <c r="G237" t="s">
        <v>545</v>
      </c>
      <c r="H237" s="27">
        <v>4.9</v>
      </c>
      <c r="I237" s="27">
        <v>621.75</v>
      </c>
      <c r="J237" s="27">
        <v>746.1</v>
      </c>
      <c r="K237" s="29" t="str">
        <f t="shared" si="3"/>
        <v>04-2025</v>
      </c>
    </row>
    <row r="238" ht="15" customHeight="1" spans="1:11">
      <c r="A238" t="s">
        <v>780</v>
      </c>
      <c r="B238" s="41">
        <v>45933</v>
      </c>
      <c r="C238" t="s">
        <v>86</v>
      </c>
      <c r="D238" t="s">
        <v>484</v>
      </c>
      <c r="E238" t="s">
        <v>501</v>
      </c>
      <c r="F238" t="s">
        <v>537</v>
      </c>
      <c r="G238" t="s">
        <v>545</v>
      </c>
      <c r="H238" s="27">
        <v>12.5</v>
      </c>
      <c r="I238" s="27">
        <v>1752.04</v>
      </c>
      <c r="J238" s="27">
        <v>2102.45</v>
      </c>
      <c r="K238" s="29" t="str">
        <f t="shared" si="3"/>
        <v>10-2025</v>
      </c>
    </row>
    <row r="239" ht="15" customHeight="1" spans="1:11">
      <c r="A239" t="s">
        <v>781</v>
      </c>
      <c r="B239" s="41">
        <v>45666</v>
      </c>
      <c r="C239" t="s">
        <v>209</v>
      </c>
      <c r="D239" t="s">
        <v>488</v>
      </c>
      <c r="E239" t="s">
        <v>500</v>
      </c>
      <c r="F239" t="s">
        <v>537</v>
      </c>
      <c r="G239" t="s">
        <v>545</v>
      </c>
      <c r="H239" s="27">
        <v>12.5</v>
      </c>
      <c r="I239" s="27">
        <v>2064.77</v>
      </c>
      <c r="J239" s="27">
        <v>2477.72</v>
      </c>
      <c r="K239" s="29" t="str">
        <f t="shared" si="3"/>
        <v>01-2025</v>
      </c>
    </row>
    <row r="240" ht="15" customHeight="1" spans="1:11">
      <c r="A240" t="s">
        <v>782</v>
      </c>
      <c r="B240" s="41">
        <v>45435</v>
      </c>
      <c r="C240" t="s">
        <v>226</v>
      </c>
      <c r="D240" t="s">
        <v>486</v>
      </c>
      <c r="E240" t="s">
        <v>498</v>
      </c>
      <c r="F240" t="s">
        <v>537</v>
      </c>
      <c r="G240" t="s">
        <v>538</v>
      </c>
      <c r="H240" s="27">
        <v>12.5</v>
      </c>
      <c r="I240" s="27">
        <v>1769.93</v>
      </c>
      <c r="J240" s="27">
        <v>2123.92</v>
      </c>
      <c r="K240" s="29" t="str">
        <f t="shared" si="3"/>
        <v>05-2024</v>
      </c>
    </row>
    <row r="241" ht="15" customHeight="1" spans="1:11">
      <c r="A241" t="s">
        <v>783</v>
      </c>
      <c r="B241" s="41">
        <v>45689</v>
      </c>
      <c r="C241" t="s">
        <v>232</v>
      </c>
      <c r="D241" t="s">
        <v>493</v>
      </c>
      <c r="E241" t="s">
        <v>501</v>
      </c>
      <c r="F241" t="s">
        <v>537</v>
      </c>
      <c r="G241" t="s">
        <v>540</v>
      </c>
      <c r="H241" s="27">
        <v>0</v>
      </c>
      <c r="I241" s="27">
        <v>1243.35</v>
      </c>
      <c r="J241" s="27">
        <v>1492.02</v>
      </c>
      <c r="K241" s="29" t="str">
        <f t="shared" si="3"/>
        <v>02-2025</v>
      </c>
    </row>
    <row r="242" ht="15" customHeight="1" spans="1:11">
      <c r="A242" t="s">
        <v>784</v>
      </c>
      <c r="B242" s="41">
        <v>45679</v>
      </c>
      <c r="C242" t="s">
        <v>200</v>
      </c>
      <c r="D242" t="s">
        <v>495</v>
      </c>
      <c r="E242" t="s">
        <v>501</v>
      </c>
      <c r="F242" t="s">
        <v>537</v>
      </c>
      <c r="G242" t="s">
        <v>557</v>
      </c>
      <c r="H242" s="27">
        <v>4.9</v>
      </c>
      <c r="I242" s="27">
        <v>1105.04</v>
      </c>
      <c r="J242" s="27">
        <v>1326.05</v>
      </c>
      <c r="K242" s="29" t="str">
        <f t="shared" si="3"/>
        <v>01-2025</v>
      </c>
    </row>
    <row r="243" ht="15" customHeight="1" spans="1:11">
      <c r="A243" t="s">
        <v>785</v>
      </c>
      <c r="B243" s="41">
        <v>45298</v>
      </c>
      <c r="C243" t="s">
        <v>241</v>
      </c>
      <c r="D243" t="s">
        <v>486</v>
      </c>
      <c r="E243" t="s">
        <v>499</v>
      </c>
      <c r="F243" t="s">
        <v>537</v>
      </c>
      <c r="G243" t="s">
        <v>545</v>
      </c>
      <c r="H243" s="27">
        <v>7.9</v>
      </c>
      <c r="I243" s="27">
        <v>210.98</v>
      </c>
      <c r="J243" s="27">
        <v>253.18</v>
      </c>
      <c r="K243" s="29" t="str">
        <f t="shared" si="3"/>
        <v>01-2024</v>
      </c>
    </row>
    <row r="244" ht="15" customHeight="1" spans="1:11">
      <c r="A244" t="s">
        <v>786</v>
      </c>
      <c r="B244" s="41">
        <v>45413</v>
      </c>
      <c r="C244" t="s">
        <v>282</v>
      </c>
      <c r="D244" t="s">
        <v>488</v>
      </c>
      <c r="E244" t="s">
        <v>499</v>
      </c>
      <c r="F244" t="s">
        <v>537</v>
      </c>
      <c r="G244" t="s">
        <v>545</v>
      </c>
      <c r="H244" s="27">
        <v>12.5</v>
      </c>
      <c r="I244" s="27">
        <v>514.32</v>
      </c>
      <c r="J244" s="27">
        <v>617.18</v>
      </c>
      <c r="K244" s="29" t="str">
        <f t="shared" si="3"/>
        <v>05-2024</v>
      </c>
    </row>
    <row r="245" ht="15" customHeight="1" spans="1:11">
      <c r="A245" t="s">
        <v>787</v>
      </c>
      <c r="B245" s="41">
        <v>45898</v>
      </c>
      <c r="C245" t="s">
        <v>127</v>
      </c>
      <c r="D245" t="s">
        <v>486</v>
      </c>
      <c r="E245" t="s">
        <v>501</v>
      </c>
      <c r="F245" t="s">
        <v>537</v>
      </c>
      <c r="G245" t="s">
        <v>538</v>
      </c>
      <c r="H245" s="27">
        <v>0</v>
      </c>
      <c r="I245" s="27">
        <v>428.72</v>
      </c>
      <c r="J245" s="27">
        <v>514.46</v>
      </c>
      <c r="K245" s="29" t="str">
        <f t="shared" si="3"/>
        <v>08-2025</v>
      </c>
    </row>
    <row r="246" ht="15" customHeight="1" spans="1:11">
      <c r="A246" t="s">
        <v>788</v>
      </c>
      <c r="B246" s="41">
        <v>45905</v>
      </c>
      <c r="C246" t="s">
        <v>257</v>
      </c>
      <c r="D246" t="s">
        <v>482</v>
      </c>
      <c r="E246" t="s">
        <v>500</v>
      </c>
      <c r="F246" t="s">
        <v>547</v>
      </c>
      <c r="G246" t="s">
        <v>538</v>
      </c>
      <c r="H246" s="27">
        <v>12.5</v>
      </c>
      <c r="I246" s="27">
        <v>1133.6</v>
      </c>
      <c r="J246" s="27">
        <v>1360.32</v>
      </c>
      <c r="K246" s="29" t="str">
        <f t="shared" si="3"/>
        <v>09-2025</v>
      </c>
    </row>
    <row r="247" ht="15" customHeight="1" spans="1:11">
      <c r="A247" t="s">
        <v>789</v>
      </c>
      <c r="B247" s="41">
        <v>45438</v>
      </c>
      <c r="C247" t="s">
        <v>317</v>
      </c>
      <c r="D247" t="s">
        <v>495</v>
      </c>
      <c r="E247" t="s">
        <v>498</v>
      </c>
      <c r="F247" t="s">
        <v>537</v>
      </c>
      <c r="G247" t="s">
        <v>540</v>
      </c>
      <c r="H247" s="27">
        <v>4.9</v>
      </c>
      <c r="I247" s="27">
        <v>831.36</v>
      </c>
      <c r="J247" s="27">
        <v>997.63</v>
      </c>
      <c r="K247" s="29" t="str">
        <f t="shared" si="3"/>
        <v>05-2024</v>
      </c>
    </row>
    <row r="248" ht="15" customHeight="1" spans="1:11">
      <c r="A248" t="s">
        <v>790</v>
      </c>
      <c r="B248" s="41">
        <v>45499</v>
      </c>
      <c r="C248" t="s">
        <v>245</v>
      </c>
      <c r="D248" t="s">
        <v>494</v>
      </c>
      <c r="E248" t="s">
        <v>499</v>
      </c>
      <c r="F248" t="s">
        <v>537</v>
      </c>
      <c r="G248" t="s">
        <v>545</v>
      </c>
      <c r="H248" s="27">
        <v>4.9</v>
      </c>
      <c r="I248" s="27">
        <v>1855.47</v>
      </c>
      <c r="J248" s="27">
        <v>2226.56</v>
      </c>
      <c r="K248" s="29" t="str">
        <f t="shared" si="3"/>
        <v>07-2024</v>
      </c>
    </row>
    <row r="249" ht="15" customHeight="1" spans="1:11">
      <c r="A249" t="s">
        <v>791</v>
      </c>
      <c r="B249" s="41">
        <v>45785</v>
      </c>
      <c r="C249" t="s">
        <v>282</v>
      </c>
      <c r="D249" t="s">
        <v>486</v>
      </c>
      <c r="E249" t="s">
        <v>501</v>
      </c>
      <c r="F249" t="s">
        <v>537</v>
      </c>
      <c r="G249" t="s">
        <v>557</v>
      </c>
      <c r="H249" s="27">
        <v>12.5</v>
      </c>
      <c r="I249" s="27">
        <v>550.57</v>
      </c>
      <c r="J249" s="27">
        <v>660.68</v>
      </c>
      <c r="K249" s="29" t="str">
        <f t="shared" si="3"/>
        <v>05-2025</v>
      </c>
    </row>
    <row r="250" ht="15" customHeight="1" spans="1:11">
      <c r="A250" t="s">
        <v>792</v>
      </c>
      <c r="B250" s="41">
        <v>45682</v>
      </c>
      <c r="C250" t="s">
        <v>195</v>
      </c>
      <c r="D250" t="s">
        <v>495</v>
      </c>
      <c r="E250" t="s">
        <v>501</v>
      </c>
      <c r="F250" t="s">
        <v>537</v>
      </c>
      <c r="G250" t="s">
        <v>540</v>
      </c>
      <c r="H250" s="27">
        <v>12.5</v>
      </c>
      <c r="I250" s="27">
        <v>258.61</v>
      </c>
      <c r="J250" s="27">
        <v>310.33</v>
      </c>
      <c r="K250" s="29" t="str">
        <f t="shared" si="3"/>
        <v>01-2025</v>
      </c>
    </row>
    <row r="251" ht="15" customHeight="1" spans="1:11">
      <c r="A251" t="s">
        <v>793</v>
      </c>
      <c r="B251" s="41">
        <v>45883</v>
      </c>
      <c r="C251" t="s">
        <v>245</v>
      </c>
      <c r="D251" t="s">
        <v>484</v>
      </c>
      <c r="E251" t="s">
        <v>501</v>
      </c>
      <c r="F251" t="s">
        <v>537</v>
      </c>
      <c r="G251" t="s">
        <v>538</v>
      </c>
      <c r="H251" s="27">
        <v>7.9</v>
      </c>
      <c r="I251" s="27">
        <v>525.58</v>
      </c>
      <c r="J251" s="27">
        <v>630.7</v>
      </c>
      <c r="K251" s="29" t="str">
        <f t="shared" si="3"/>
        <v>08-2025</v>
      </c>
    </row>
    <row r="252" ht="15" customHeight="1" spans="1:11">
      <c r="A252" t="s">
        <v>794</v>
      </c>
      <c r="B252" s="41">
        <v>45725</v>
      </c>
      <c r="C252" t="s">
        <v>257</v>
      </c>
      <c r="D252" t="s">
        <v>491</v>
      </c>
      <c r="E252" t="s">
        <v>500</v>
      </c>
      <c r="F252" t="s">
        <v>550</v>
      </c>
      <c r="G252" t="s">
        <v>557</v>
      </c>
      <c r="H252" s="27">
        <v>4.9</v>
      </c>
      <c r="I252" s="27">
        <v>1822.62</v>
      </c>
      <c r="J252" s="27">
        <v>2187.14</v>
      </c>
      <c r="K252" s="29" t="str">
        <f t="shared" si="3"/>
        <v>03-2025</v>
      </c>
    </row>
    <row r="253" ht="15" customHeight="1" spans="1:11">
      <c r="A253" t="s">
        <v>795</v>
      </c>
      <c r="B253" s="41">
        <v>45606</v>
      </c>
      <c r="C253" t="s">
        <v>259</v>
      </c>
      <c r="D253" t="s">
        <v>491</v>
      </c>
      <c r="E253" t="s">
        <v>499</v>
      </c>
      <c r="F253" t="s">
        <v>537</v>
      </c>
      <c r="G253" t="s">
        <v>545</v>
      </c>
      <c r="H253" s="27">
        <v>4.9</v>
      </c>
      <c r="I253" s="27">
        <v>881.76</v>
      </c>
      <c r="J253" s="27">
        <v>1058.11</v>
      </c>
      <c r="K253" s="29" t="str">
        <f t="shared" si="3"/>
        <v>11-2024</v>
      </c>
    </row>
    <row r="254" ht="15" customHeight="1" spans="1:11">
      <c r="A254" t="s">
        <v>796</v>
      </c>
      <c r="B254" s="41">
        <v>45855</v>
      </c>
      <c r="C254" t="s">
        <v>269</v>
      </c>
      <c r="D254" t="s">
        <v>482</v>
      </c>
      <c r="E254" t="s">
        <v>498</v>
      </c>
      <c r="F254" t="s">
        <v>537</v>
      </c>
      <c r="G254" t="s">
        <v>545</v>
      </c>
      <c r="H254" s="27">
        <v>0</v>
      </c>
      <c r="I254" s="27">
        <v>1405.19</v>
      </c>
      <c r="J254" s="27">
        <v>1686.23</v>
      </c>
      <c r="K254" s="29" t="str">
        <f t="shared" si="3"/>
        <v>07-2025</v>
      </c>
    </row>
    <row r="255" ht="15" customHeight="1" spans="1:11">
      <c r="A255" t="s">
        <v>797</v>
      </c>
      <c r="B255" s="41">
        <v>45685</v>
      </c>
      <c r="C255" t="s">
        <v>355</v>
      </c>
      <c r="D255" t="s">
        <v>492</v>
      </c>
      <c r="E255" t="s">
        <v>500</v>
      </c>
      <c r="F255" t="s">
        <v>537</v>
      </c>
      <c r="G255" t="s">
        <v>545</v>
      </c>
      <c r="H255" s="27">
        <v>4.9</v>
      </c>
      <c r="I255" s="27">
        <v>420.07</v>
      </c>
      <c r="J255" s="27">
        <v>504.08</v>
      </c>
      <c r="K255" s="29" t="str">
        <f t="shared" si="3"/>
        <v>01-2025</v>
      </c>
    </row>
    <row r="256" ht="15" customHeight="1" spans="1:11">
      <c r="A256" t="s">
        <v>798</v>
      </c>
      <c r="B256" s="41">
        <v>45905</v>
      </c>
      <c r="C256" t="s">
        <v>243</v>
      </c>
      <c r="D256" t="s">
        <v>494</v>
      </c>
      <c r="E256" t="s">
        <v>498</v>
      </c>
      <c r="F256" t="s">
        <v>537</v>
      </c>
      <c r="G256" t="s">
        <v>545</v>
      </c>
      <c r="H256" s="27">
        <v>7.9</v>
      </c>
      <c r="I256" s="27">
        <v>8837.02</v>
      </c>
      <c r="J256" s="27">
        <v>10604.42</v>
      </c>
      <c r="K256" s="29" t="str">
        <f t="shared" si="3"/>
        <v>09-2025</v>
      </c>
    </row>
    <row r="257" ht="15" customHeight="1" spans="1:11">
      <c r="A257" t="s">
        <v>799</v>
      </c>
      <c r="B257" s="41">
        <v>45574</v>
      </c>
      <c r="C257" t="s">
        <v>313</v>
      </c>
      <c r="D257" t="s">
        <v>492</v>
      </c>
      <c r="E257" t="s">
        <v>500</v>
      </c>
      <c r="F257" t="s">
        <v>537</v>
      </c>
      <c r="G257" t="s">
        <v>557</v>
      </c>
      <c r="H257" s="27">
        <v>4.9</v>
      </c>
      <c r="I257" s="27">
        <v>521.38</v>
      </c>
      <c r="J257" s="27">
        <v>625.66</v>
      </c>
      <c r="K257" s="29" t="str">
        <f t="shared" si="3"/>
        <v>10-2024</v>
      </c>
    </row>
    <row r="258" ht="15" customHeight="1" spans="1:11">
      <c r="A258" t="s">
        <v>800</v>
      </c>
      <c r="B258" s="41">
        <v>45888</v>
      </c>
      <c r="C258" t="s">
        <v>195</v>
      </c>
      <c r="D258" t="s">
        <v>491</v>
      </c>
      <c r="E258" t="s">
        <v>500</v>
      </c>
      <c r="F258" t="s">
        <v>537</v>
      </c>
      <c r="G258" t="s">
        <v>538</v>
      </c>
      <c r="H258" s="27">
        <v>12.5</v>
      </c>
      <c r="I258" s="27">
        <v>884.99</v>
      </c>
      <c r="J258" s="27">
        <v>1061.99</v>
      </c>
      <c r="K258" s="29" t="str">
        <f t="shared" si="3"/>
        <v>08-2025</v>
      </c>
    </row>
    <row r="259" ht="15" customHeight="1" spans="1:11">
      <c r="A259" t="s">
        <v>801</v>
      </c>
      <c r="B259" s="41">
        <v>45842</v>
      </c>
      <c r="C259" t="s">
        <v>324</v>
      </c>
      <c r="D259" t="s">
        <v>495</v>
      </c>
      <c r="E259" t="s">
        <v>500</v>
      </c>
      <c r="F259" t="s">
        <v>537</v>
      </c>
      <c r="G259" t="s">
        <v>557</v>
      </c>
      <c r="H259" s="27">
        <v>12.5</v>
      </c>
      <c r="I259" s="27">
        <v>2123.79</v>
      </c>
      <c r="J259" s="27">
        <v>2548.55</v>
      </c>
      <c r="K259" s="29" t="str">
        <f t="shared" ref="K259:K322" si="4">TEXT(B259,"mm-yyyy")</f>
        <v>07-2025</v>
      </c>
    </row>
    <row r="260" ht="15" customHeight="1" spans="1:11">
      <c r="A260" t="s">
        <v>802</v>
      </c>
      <c r="B260" s="41">
        <v>45361</v>
      </c>
      <c r="C260" t="s">
        <v>205</v>
      </c>
      <c r="D260" t="s">
        <v>488</v>
      </c>
      <c r="E260" t="s">
        <v>498</v>
      </c>
      <c r="F260" t="s">
        <v>537</v>
      </c>
      <c r="G260" t="s">
        <v>557</v>
      </c>
      <c r="H260" s="27">
        <v>7.9</v>
      </c>
      <c r="I260" s="27">
        <v>3347.41</v>
      </c>
      <c r="J260" s="27">
        <v>4016.89</v>
      </c>
      <c r="K260" s="29" t="str">
        <f t="shared" si="4"/>
        <v>03-2024</v>
      </c>
    </row>
    <row r="261" ht="15" customHeight="1" spans="1:11">
      <c r="A261" t="s">
        <v>803</v>
      </c>
      <c r="B261" s="41">
        <v>45981</v>
      </c>
      <c r="C261" t="s">
        <v>305</v>
      </c>
      <c r="D261" t="s">
        <v>491</v>
      </c>
      <c r="E261" t="s">
        <v>501</v>
      </c>
      <c r="F261" t="s">
        <v>537</v>
      </c>
      <c r="G261" t="s">
        <v>538</v>
      </c>
      <c r="H261" s="27">
        <v>12.5</v>
      </c>
      <c r="I261" s="27">
        <v>2283.59</v>
      </c>
      <c r="J261" s="27">
        <v>2740.31</v>
      </c>
      <c r="K261" s="29" t="str">
        <f t="shared" si="4"/>
        <v>11-2025</v>
      </c>
    </row>
    <row r="262" ht="15" customHeight="1" spans="1:11">
      <c r="A262" t="s">
        <v>804</v>
      </c>
      <c r="B262" s="41">
        <v>45486</v>
      </c>
      <c r="C262" t="s">
        <v>238</v>
      </c>
      <c r="D262" t="s">
        <v>488</v>
      </c>
      <c r="E262" t="s">
        <v>498</v>
      </c>
      <c r="F262" t="s">
        <v>537</v>
      </c>
      <c r="G262" t="s">
        <v>540</v>
      </c>
      <c r="H262" s="27">
        <v>4.9</v>
      </c>
      <c r="I262" s="27">
        <v>95.17</v>
      </c>
      <c r="J262" s="27">
        <v>114.2</v>
      </c>
      <c r="K262" s="29" t="str">
        <f t="shared" si="4"/>
        <v>07-2024</v>
      </c>
    </row>
    <row r="263" ht="15" customHeight="1" spans="1:11">
      <c r="A263" t="s">
        <v>805</v>
      </c>
      <c r="B263" s="41">
        <v>45451</v>
      </c>
      <c r="C263" t="s">
        <v>313</v>
      </c>
      <c r="D263" t="s">
        <v>484</v>
      </c>
      <c r="E263" t="s">
        <v>501</v>
      </c>
      <c r="F263" t="s">
        <v>547</v>
      </c>
      <c r="G263" t="s">
        <v>557</v>
      </c>
      <c r="H263" s="27">
        <v>0</v>
      </c>
      <c r="I263" s="27">
        <v>4315.63</v>
      </c>
      <c r="J263" s="27">
        <v>5178.76</v>
      </c>
      <c r="K263" s="29" t="str">
        <f t="shared" si="4"/>
        <v>06-2024</v>
      </c>
    </row>
    <row r="264" ht="15" customHeight="1" spans="1:11">
      <c r="A264" t="s">
        <v>806</v>
      </c>
      <c r="B264" s="41">
        <v>45479</v>
      </c>
      <c r="C264" t="s">
        <v>309</v>
      </c>
      <c r="D264" t="s">
        <v>494</v>
      </c>
      <c r="E264" t="s">
        <v>500</v>
      </c>
      <c r="F264" t="s">
        <v>537</v>
      </c>
      <c r="G264" t="s">
        <v>538</v>
      </c>
      <c r="H264" s="27">
        <v>0</v>
      </c>
      <c r="I264" s="27">
        <v>470.81</v>
      </c>
      <c r="J264" s="27">
        <v>564.97</v>
      </c>
      <c r="K264" s="29" t="str">
        <f t="shared" si="4"/>
        <v>07-2024</v>
      </c>
    </row>
    <row r="265" ht="15" customHeight="1" spans="1:11">
      <c r="A265" t="s">
        <v>807</v>
      </c>
      <c r="B265" s="41">
        <v>45994</v>
      </c>
      <c r="C265" t="s">
        <v>313</v>
      </c>
      <c r="D265" t="s">
        <v>486</v>
      </c>
      <c r="E265" t="s">
        <v>499</v>
      </c>
      <c r="F265" t="s">
        <v>542</v>
      </c>
      <c r="G265" t="s">
        <v>557</v>
      </c>
      <c r="H265" s="27">
        <v>7.9</v>
      </c>
      <c r="I265" s="27">
        <v>4146.55</v>
      </c>
      <c r="J265" s="27">
        <v>4975.86</v>
      </c>
      <c r="K265" s="29" t="str">
        <f t="shared" si="4"/>
        <v>12-2025</v>
      </c>
    </row>
    <row r="266" ht="15" customHeight="1" spans="1:11">
      <c r="A266" t="s">
        <v>808</v>
      </c>
      <c r="B266" s="41">
        <v>45853</v>
      </c>
      <c r="C266" t="s">
        <v>168</v>
      </c>
      <c r="D266" t="s">
        <v>488</v>
      </c>
      <c r="E266" t="s">
        <v>500</v>
      </c>
      <c r="F266" t="s">
        <v>537</v>
      </c>
      <c r="G266" t="s">
        <v>540</v>
      </c>
      <c r="H266" s="27">
        <v>7.9</v>
      </c>
      <c r="I266" s="27">
        <v>35.74</v>
      </c>
      <c r="J266" s="27">
        <v>42.89</v>
      </c>
      <c r="K266" s="29" t="str">
        <f t="shared" si="4"/>
        <v>07-2025</v>
      </c>
    </row>
    <row r="267" ht="15" customHeight="1" spans="1:11">
      <c r="A267" t="s">
        <v>809</v>
      </c>
      <c r="B267" s="41">
        <v>45673</v>
      </c>
      <c r="C267" t="s">
        <v>200</v>
      </c>
      <c r="D267" t="s">
        <v>492</v>
      </c>
      <c r="E267" t="s">
        <v>500</v>
      </c>
      <c r="F267" t="s">
        <v>537</v>
      </c>
      <c r="G267" t="s">
        <v>538</v>
      </c>
      <c r="H267" s="27">
        <v>4.9</v>
      </c>
      <c r="I267" s="27">
        <v>793.64</v>
      </c>
      <c r="J267" s="27">
        <v>952.37</v>
      </c>
      <c r="K267" s="29" t="str">
        <f t="shared" si="4"/>
        <v>01-2025</v>
      </c>
    </row>
    <row r="268" ht="15" customHeight="1" spans="1:11">
      <c r="A268" t="s">
        <v>810</v>
      </c>
      <c r="B268" s="41">
        <v>45445</v>
      </c>
      <c r="C268" t="s">
        <v>232</v>
      </c>
      <c r="D268" t="s">
        <v>482</v>
      </c>
      <c r="E268" t="s">
        <v>498</v>
      </c>
      <c r="F268" t="s">
        <v>537</v>
      </c>
      <c r="G268" t="s">
        <v>538</v>
      </c>
      <c r="H268" s="27">
        <v>7.9</v>
      </c>
      <c r="I268" s="27">
        <v>520.6</v>
      </c>
      <c r="J268" s="27">
        <v>624.72</v>
      </c>
      <c r="K268" s="29" t="str">
        <f t="shared" si="4"/>
        <v>06-2024</v>
      </c>
    </row>
    <row r="269" ht="15" customHeight="1" spans="1:11">
      <c r="A269" t="s">
        <v>811</v>
      </c>
      <c r="B269" s="41">
        <v>45779</v>
      </c>
      <c r="C269" t="s">
        <v>330</v>
      </c>
      <c r="D269" t="s">
        <v>484</v>
      </c>
      <c r="E269" t="s">
        <v>499</v>
      </c>
      <c r="F269" t="s">
        <v>537</v>
      </c>
      <c r="G269" t="s">
        <v>540</v>
      </c>
      <c r="H269" s="27">
        <v>7.9</v>
      </c>
      <c r="I269" s="27">
        <v>2380.39</v>
      </c>
      <c r="J269" s="27">
        <v>2856.47</v>
      </c>
      <c r="K269" s="29" t="str">
        <f t="shared" si="4"/>
        <v>05-2025</v>
      </c>
    </row>
    <row r="270" ht="15" customHeight="1" spans="1:11">
      <c r="A270" t="s">
        <v>812</v>
      </c>
      <c r="B270" s="41">
        <v>45651</v>
      </c>
      <c r="C270" t="s">
        <v>338</v>
      </c>
      <c r="D270" t="s">
        <v>495</v>
      </c>
      <c r="E270" t="s">
        <v>498</v>
      </c>
      <c r="F270" t="s">
        <v>537</v>
      </c>
      <c r="G270" t="s">
        <v>538</v>
      </c>
      <c r="H270" s="27">
        <v>7.9</v>
      </c>
      <c r="I270" s="27">
        <v>313.44</v>
      </c>
      <c r="J270" s="27">
        <v>376.13</v>
      </c>
      <c r="K270" s="29" t="str">
        <f t="shared" si="4"/>
        <v>12-2024</v>
      </c>
    </row>
    <row r="271" ht="15" customHeight="1" spans="1:11">
      <c r="A271" t="s">
        <v>813</v>
      </c>
      <c r="B271" s="41">
        <v>45920</v>
      </c>
      <c r="C271" t="s">
        <v>175</v>
      </c>
      <c r="D271" t="s">
        <v>493</v>
      </c>
      <c r="E271" t="s">
        <v>498</v>
      </c>
      <c r="F271" t="s">
        <v>537</v>
      </c>
      <c r="G271" t="s">
        <v>540</v>
      </c>
      <c r="H271" s="27">
        <v>12.5</v>
      </c>
      <c r="I271" s="27">
        <v>636.23</v>
      </c>
      <c r="J271" s="27">
        <v>763.48</v>
      </c>
      <c r="K271" s="29" t="str">
        <f t="shared" si="4"/>
        <v>09-2025</v>
      </c>
    </row>
    <row r="272" ht="15" customHeight="1" spans="1:11">
      <c r="A272" t="s">
        <v>814</v>
      </c>
      <c r="B272" s="41">
        <v>45613</v>
      </c>
      <c r="C272" t="s">
        <v>185</v>
      </c>
      <c r="D272" t="s">
        <v>489</v>
      </c>
      <c r="E272" t="s">
        <v>500</v>
      </c>
      <c r="F272" t="s">
        <v>537</v>
      </c>
      <c r="G272" t="s">
        <v>557</v>
      </c>
      <c r="H272" s="27">
        <v>7.9</v>
      </c>
      <c r="I272" s="27">
        <v>576.17</v>
      </c>
      <c r="J272" s="27">
        <v>691.4</v>
      </c>
      <c r="K272" s="29" t="str">
        <f t="shared" si="4"/>
        <v>11-2024</v>
      </c>
    </row>
    <row r="273" ht="15" customHeight="1" spans="1:11">
      <c r="A273" t="s">
        <v>815</v>
      </c>
      <c r="B273" s="41">
        <v>45549</v>
      </c>
      <c r="C273" t="s">
        <v>305</v>
      </c>
      <c r="D273" t="s">
        <v>484</v>
      </c>
      <c r="E273" t="s">
        <v>498</v>
      </c>
      <c r="F273" t="s">
        <v>537</v>
      </c>
      <c r="G273" t="s">
        <v>545</v>
      </c>
      <c r="H273" s="27">
        <v>0</v>
      </c>
      <c r="I273" s="27">
        <v>524.68</v>
      </c>
      <c r="J273" s="27">
        <v>629.62</v>
      </c>
      <c r="K273" s="29" t="str">
        <f t="shared" si="4"/>
        <v>09-2024</v>
      </c>
    </row>
    <row r="274" ht="15" customHeight="1" spans="1:11">
      <c r="A274" t="s">
        <v>816</v>
      </c>
      <c r="B274" s="41">
        <v>45698</v>
      </c>
      <c r="C274" t="s">
        <v>247</v>
      </c>
      <c r="D274" t="s">
        <v>484</v>
      </c>
      <c r="E274" t="s">
        <v>501</v>
      </c>
      <c r="F274" t="s">
        <v>537</v>
      </c>
      <c r="G274" t="s">
        <v>538</v>
      </c>
      <c r="H274" s="27">
        <v>0</v>
      </c>
      <c r="I274" s="27">
        <v>196.85</v>
      </c>
      <c r="J274" s="27">
        <v>236.22</v>
      </c>
      <c r="K274" s="29" t="str">
        <f t="shared" si="4"/>
        <v>02-2025</v>
      </c>
    </row>
    <row r="275" ht="15" customHeight="1" spans="1:11">
      <c r="A275" t="s">
        <v>817</v>
      </c>
      <c r="B275" s="41">
        <v>45321</v>
      </c>
      <c r="C275" t="s">
        <v>59</v>
      </c>
      <c r="D275" t="s">
        <v>491</v>
      </c>
      <c r="E275" t="s">
        <v>500</v>
      </c>
      <c r="F275" t="s">
        <v>537</v>
      </c>
      <c r="G275" t="s">
        <v>557</v>
      </c>
      <c r="H275" s="27">
        <v>7.9</v>
      </c>
      <c r="I275" s="27">
        <v>1224.49</v>
      </c>
      <c r="J275" s="27">
        <v>1469.39</v>
      </c>
      <c r="K275" s="29" t="str">
        <f t="shared" si="4"/>
        <v>01-2024</v>
      </c>
    </row>
    <row r="276" ht="15" customHeight="1" spans="1:11">
      <c r="A276" t="s">
        <v>818</v>
      </c>
      <c r="B276" s="41">
        <v>45759</v>
      </c>
      <c r="C276" t="s">
        <v>274</v>
      </c>
      <c r="D276" t="s">
        <v>495</v>
      </c>
      <c r="E276" t="s">
        <v>499</v>
      </c>
      <c r="F276" t="s">
        <v>537</v>
      </c>
      <c r="G276" t="s">
        <v>540</v>
      </c>
      <c r="H276" s="27">
        <v>7.9</v>
      </c>
      <c r="I276" s="27">
        <v>197.72</v>
      </c>
      <c r="J276" s="27">
        <v>237.26</v>
      </c>
      <c r="K276" s="29" t="str">
        <f t="shared" si="4"/>
        <v>04-2025</v>
      </c>
    </row>
    <row r="277" ht="15" customHeight="1" spans="1:11">
      <c r="A277" t="s">
        <v>819</v>
      </c>
      <c r="B277" s="41">
        <v>45451</v>
      </c>
      <c r="C277" t="s">
        <v>181</v>
      </c>
      <c r="D277" t="s">
        <v>482</v>
      </c>
      <c r="E277" t="s">
        <v>501</v>
      </c>
      <c r="F277" t="s">
        <v>537</v>
      </c>
      <c r="G277" t="s">
        <v>538</v>
      </c>
      <c r="H277" s="27">
        <v>7.9</v>
      </c>
      <c r="I277" s="27">
        <v>428.09</v>
      </c>
      <c r="J277" s="27">
        <v>513.71</v>
      </c>
      <c r="K277" s="29" t="str">
        <f t="shared" si="4"/>
        <v>06-2024</v>
      </c>
    </row>
    <row r="278" ht="15" customHeight="1" spans="1:11">
      <c r="A278" t="s">
        <v>820</v>
      </c>
      <c r="B278" s="41">
        <v>45780</v>
      </c>
      <c r="C278" t="s">
        <v>181</v>
      </c>
      <c r="D278" t="s">
        <v>482</v>
      </c>
      <c r="E278" t="s">
        <v>499</v>
      </c>
      <c r="F278" t="s">
        <v>537</v>
      </c>
      <c r="G278" t="s">
        <v>538</v>
      </c>
      <c r="H278" s="27">
        <v>0</v>
      </c>
      <c r="I278" s="27">
        <v>378.27</v>
      </c>
      <c r="J278" s="27">
        <v>453.92</v>
      </c>
      <c r="K278" s="29" t="str">
        <f t="shared" si="4"/>
        <v>05-2025</v>
      </c>
    </row>
    <row r="279" ht="15" customHeight="1" spans="1:11">
      <c r="A279" t="s">
        <v>821</v>
      </c>
      <c r="B279" s="41">
        <v>45953</v>
      </c>
      <c r="C279" t="s">
        <v>207</v>
      </c>
      <c r="D279" t="s">
        <v>492</v>
      </c>
      <c r="E279" t="s">
        <v>498</v>
      </c>
      <c r="F279" t="s">
        <v>537</v>
      </c>
      <c r="G279" t="s">
        <v>557</v>
      </c>
      <c r="H279" s="27">
        <v>4.9</v>
      </c>
      <c r="I279" s="27">
        <v>980.04</v>
      </c>
      <c r="J279" s="27">
        <v>1176.05</v>
      </c>
      <c r="K279" s="29" t="str">
        <f t="shared" si="4"/>
        <v>10-2025</v>
      </c>
    </row>
    <row r="280" ht="15" customHeight="1" spans="1:11">
      <c r="A280" t="s">
        <v>822</v>
      </c>
      <c r="B280" s="41">
        <v>45836</v>
      </c>
      <c r="C280" t="s">
        <v>322</v>
      </c>
      <c r="D280" t="s">
        <v>489</v>
      </c>
      <c r="E280" t="s">
        <v>499</v>
      </c>
      <c r="F280" t="s">
        <v>537</v>
      </c>
      <c r="G280" t="s">
        <v>545</v>
      </c>
      <c r="H280" s="27">
        <v>4.9</v>
      </c>
      <c r="I280" s="27">
        <v>73.14</v>
      </c>
      <c r="J280" s="27">
        <v>87.77</v>
      </c>
      <c r="K280" s="29" t="str">
        <f t="shared" si="4"/>
        <v>06-2025</v>
      </c>
    </row>
    <row r="281" ht="15" customHeight="1" spans="1:11">
      <c r="A281" t="s">
        <v>823</v>
      </c>
      <c r="B281" s="41">
        <v>45755</v>
      </c>
      <c r="C281" t="s">
        <v>170</v>
      </c>
      <c r="D281" t="s">
        <v>495</v>
      </c>
      <c r="E281" t="s">
        <v>499</v>
      </c>
      <c r="F281" t="s">
        <v>537</v>
      </c>
      <c r="G281" t="s">
        <v>545</v>
      </c>
      <c r="H281" s="27">
        <v>4.9</v>
      </c>
      <c r="I281" s="27">
        <v>447.2</v>
      </c>
      <c r="J281" s="27">
        <v>536.64</v>
      </c>
      <c r="K281" s="29" t="str">
        <f t="shared" si="4"/>
        <v>04-2025</v>
      </c>
    </row>
    <row r="282" ht="15" customHeight="1" spans="1:11">
      <c r="A282" t="s">
        <v>824</v>
      </c>
      <c r="B282" s="41">
        <v>45580</v>
      </c>
      <c r="C282" t="s">
        <v>170</v>
      </c>
      <c r="D282" t="s">
        <v>486</v>
      </c>
      <c r="E282" t="s">
        <v>499</v>
      </c>
      <c r="F282" t="s">
        <v>537</v>
      </c>
      <c r="G282" t="s">
        <v>538</v>
      </c>
      <c r="H282" s="27">
        <v>0</v>
      </c>
      <c r="I282" s="27">
        <v>281.17</v>
      </c>
      <c r="J282" s="27">
        <v>337.4</v>
      </c>
      <c r="K282" s="29" t="str">
        <f t="shared" si="4"/>
        <v>10-2024</v>
      </c>
    </row>
    <row r="283" ht="15" customHeight="1" spans="1:11">
      <c r="A283" t="s">
        <v>825</v>
      </c>
      <c r="B283" s="41">
        <v>45611</v>
      </c>
      <c r="C283" t="s">
        <v>315</v>
      </c>
      <c r="D283" t="s">
        <v>493</v>
      </c>
      <c r="E283" t="s">
        <v>500</v>
      </c>
      <c r="F283" t="s">
        <v>537</v>
      </c>
      <c r="G283" t="s">
        <v>545</v>
      </c>
      <c r="H283" s="27">
        <v>7.9</v>
      </c>
      <c r="I283" s="27">
        <v>211.55</v>
      </c>
      <c r="J283" s="27">
        <v>253.86</v>
      </c>
      <c r="K283" s="29" t="str">
        <f t="shared" si="4"/>
        <v>11-2024</v>
      </c>
    </row>
    <row r="284" ht="15" customHeight="1" spans="1:11">
      <c r="A284" t="s">
        <v>826</v>
      </c>
      <c r="B284" s="41">
        <v>45564</v>
      </c>
      <c r="C284" t="s">
        <v>313</v>
      </c>
      <c r="D284" t="s">
        <v>492</v>
      </c>
      <c r="E284" t="s">
        <v>501</v>
      </c>
      <c r="F284" t="s">
        <v>537</v>
      </c>
      <c r="G284" t="s">
        <v>538</v>
      </c>
      <c r="H284" s="27">
        <v>4.9</v>
      </c>
      <c r="I284" s="27">
        <v>438.13</v>
      </c>
      <c r="J284" s="27">
        <v>525.76</v>
      </c>
      <c r="K284" s="29" t="str">
        <f t="shared" si="4"/>
        <v>09-2024</v>
      </c>
    </row>
    <row r="285" ht="15" customHeight="1" spans="1:11">
      <c r="A285" t="s">
        <v>827</v>
      </c>
      <c r="B285" s="41">
        <v>45495</v>
      </c>
      <c r="C285" t="s">
        <v>228</v>
      </c>
      <c r="D285" t="s">
        <v>484</v>
      </c>
      <c r="E285" t="s">
        <v>498</v>
      </c>
      <c r="F285" t="s">
        <v>537</v>
      </c>
      <c r="G285" t="s">
        <v>540</v>
      </c>
      <c r="H285" s="27">
        <v>7.9</v>
      </c>
      <c r="I285" s="27">
        <v>35.54</v>
      </c>
      <c r="J285" s="27">
        <v>42.65</v>
      </c>
      <c r="K285" s="29" t="str">
        <f t="shared" si="4"/>
        <v>07-2024</v>
      </c>
    </row>
    <row r="286" ht="15" customHeight="1" spans="1:11">
      <c r="A286" t="s">
        <v>828</v>
      </c>
      <c r="B286" s="41">
        <v>45825</v>
      </c>
      <c r="C286" t="s">
        <v>108</v>
      </c>
      <c r="D286" t="s">
        <v>489</v>
      </c>
      <c r="E286" t="s">
        <v>499</v>
      </c>
      <c r="F286" t="s">
        <v>537</v>
      </c>
      <c r="G286" t="s">
        <v>538</v>
      </c>
      <c r="H286" s="27">
        <v>7.9</v>
      </c>
      <c r="I286" s="27">
        <v>1769.84</v>
      </c>
      <c r="J286" s="27">
        <v>2123.81</v>
      </c>
      <c r="K286" s="29" t="str">
        <f t="shared" si="4"/>
        <v>06-2025</v>
      </c>
    </row>
    <row r="287" ht="15" customHeight="1" spans="1:11">
      <c r="A287" t="s">
        <v>829</v>
      </c>
      <c r="B287" s="41">
        <v>45301</v>
      </c>
      <c r="C287" t="s">
        <v>66</v>
      </c>
      <c r="D287" t="s">
        <v>495</v>
      </c>
      <c r="E287" t="s">
        <v>499</v>
      </c>
      <c r="F287" t="s">
        <v>537</v>
      </c>
      <c r="G287" t="s">
        <v>538</v>
      </c>
      <c r="H287" s="27">
        <v>7.9</v>
      </c>
      <c r="I287" s="27">
        <v>375.95</v>
      </c>
      <c r="J287" s="27">
        <v>451.14</v>
      </c>
      <c r="K287" s="29" t="str">
        <f t="shared" si="4"/>
        <v>01-2024</v>
      </c>
    </row>
    <row r="288" ht="15" customHeight="1" spans="1:11">
      <c r="A288" t="s">
        <v>830</v>
      </c>
      <c r="B288" s="41">
        <v>45449</v>
      </c>
      <c r="C288" t="s">
        <v>292</v>
      </c>
      <c r="D288" t="s">
        <v>494</v>
      </c>
      <c r="E288" t="s">
        <v>501</v>
      </c>
      <c r="F288" t="s">
        <v>537</v>
      </c>
      <c r="G288" t="s">
        <v>538</v>
      </c>
      <c r="H288" s="27">
        <v>7.9</v>
      </c>
      <c r="I288" s="27">
        <v>403</v>
      </c>
      <c r="J288" s="27">
        <v>483.6</v>
      </c>
      <c r="K288" s="29" t="str">
        <f t="shared" si="4"/>
        <v>06-2024</v>
      </c>
    </row>
    <row r="289" ht="15" customHeight="1" spans="1:11">
      <c r="A289" t="s">
        <v>831</v>
      </c>
      <c r="B289" s="41">
        <v>45847</v>
      </c>
      <c r="C289" t="s">
        <v>292</v>
      </c>
      <c r="D289" t="s">
        <v>493</v>
      </c>
      <c r="E289" t="s">
        <v>498</v>
      </c>
      <c r="F289" t="s">
        <v>537</v>
      </c>
      <c r="G289" t="s">
        <v>540</v>
      </c>
      <c r="H289" s="27">
        <v>7.9</v>
      </c>
      <c r="I289" s="27">
        <v>625.76</v>
      </c>
      <c r="J289" s="27">
        <v>750.91</v>
      </c>
      <c r="K289" s="29" t="str">
        <f t="shared" si="4"/>
        <v>07-2025</v>
      </c>
    </row>
    <row r="290" ht="15" customHeight="1" spans="1:11">
      <c r="A290" t="s">
        <v>832</v>
      </c>
      <c r="B290" s="41">
        <v>45846</v>
      </c>
      <c r="C290" t="s">
        <v>200</v>
      </c>
      <c r="D290" t="s">
        <v>493</v>
      </c>
      <c r="E290" t="s">
        <v>501</v>
      </c>
      <c r="F290" t="s">
        <v>537</v>
      </c>
      <c r="G290" t="s">
        <v>557</v>
      </c>
      <c r="H290" s="27">
        <v>4.9</v>
      </c>
      <c r="I290" s="27">
        <v>2572.23</v>
      </c>
      <c r="J290" s="27">
        <v>3086.68</v>
      </c>
      <c r="K290" s="29" t="str">
        <f t="shared" si="4"/>
        <v>07-2025</v>
      </c>
    </row>
    <row r="291" ht="15" customHeight="1" spans="1:11">
      <c r="A291" t="s">
        <v>833</v>
      </c>
      <c r="B291" s="41">
        <v>45856</v>
      </c>
      <c r="C291" t="s">
        <v>121</v>
      </c>
      <c r="D291" t="s">
        <v>495</v>
      </c>
      <c r="E291" t="s">
        <v>500</v>
      </c>
      <c r="F291" t="s">
        <v>537</v>
      </c>
      <c r="G291" t="s">
        <v>540</v>
      </c>
      <c r="H291" s="27">
        <v>0</v>
      </c>
      <c r="I291" s="27">
        <v>59.83</v>
      </c>
      <c r="J291" s="27">
        <v>71.8</v>
      </c>
      <c r="K291" s="29" t="str">
        <f t="shared" si="4"/>
        <v>07-2025</v>
      </c>
    </row>
    <row r="292" ht="15" customHeight="1" spans="1:11">
      <c r="A292" t="s">
        <v>834</v>
      </c>
      <c r="B292" s="41">
        <v>45474</v>
      </c>
      <c r="C292" t="s">
        <v>338</v>
      </c>
      <c r="D292" t="s">
        <v>482</v>
      </c>
      <c r="E292" t="s">
        <v>498</v>
      </c>
      <c r="F292" t="s">
        <v>537</v>
      </c>
      <c r="G292" t="s">
        <v>538</v>
      </c>
      <c r="H292" s="27">
        <v>0</v>
      </c>
      <c r="I292" s="27">
        <v>180.54</v>
      </c>
      <c r="J292" s="27">
        <v>216.65</v>
      </c>
      <c r="K292" s="29" t="str">
        <f t="shared" si="4"/>
        <v>07-2024</v>
      </c>
    </row>
    <row r="293" ht="15" customHeight="1" spans="1:11">
      <c r="A293" t="s">
        <v>835</v>
      </c>
      <c r="B293" s="41">
        <v>45793</v>
      </c>
      <c r="C293" t="s">
        <v>247</v>
      </c>
      <c r="D293" t="s">
        <v>495</v>
      </c>
      <c r="E293" t="s">
        <v>500</v>
      </c>
      <c r="F293" t="s">
        <v>537</v>
      </c>
      <c r="G293" t="s">
        <v>538</v>
      </c>
      <c r="H293" s="27">
        <v>0</v>
      </c>
      <c r="I293" s="27">
        <v>656.06</v>
      </c>
      <c r="J293" s="27">
        <v>787.27</v>
      </c>
      <c r="K293" s="29" t="str">
        <f t="shared" si="4"/>
        <v>05-2025</v>
      </c>
    </row>
    <row r="294" ht="15" customHeight="1" spans="1:11">
      <c r="A294" t="s">
        <v>836</v>
      </c>
      <c r="B294" s="41">
        <v>45771</v>
      </c>
      <c r="C294" t="s">
        <v>320</v>
      </c>
      <c r="D294" t="s">
        <v>482</v>
      </c>
      <c r="E294" t="s">
        <v>500</v>
      </c>
      <c r="F294" t="s">
        <v>537</v>
      </c>
      <c r="G294" t="s">
        <v>557</v>
      </c>
      <c r="H294" s="27">
        <v>7.9</v>
      </c>
      <c r="I294" s="27">
        <v>1251.27</v>
      </c>
      <c r="J294" s="27">
        <v>1501.52</v>
      </c>
      <c r="K294" s="29" t="str">
        <f t="shared" si="4"/>
        <v>04-2025</v>
      </c>
    </row>
    <row r="295" ht="15" customHeight="1" spans="1:11">
      <c r="A295" t="s">
        <v>837</v>
      </c>
      <c r="B295" s="41">
        <v>45823</v>
      </c>
      <c r="C295" t="s">
        <v>99</v>
      </c>
      <c r="D295" t="s">
        <v>484</v>
      </c>
      <c r="E295" t="s">
        <v>498</v>
      </c>
      <c r="F295" t="s">
        <v>537</v>
      </c>
      <c r="G295" t="s">
        <v>538</v>
      </c>
      <c r="H295" s="27">
        <v>4.9</v>
      </c>
      <c r="I295" s="27">
        <v>1360.21</v>
      </c>
      <c r="J295" s="27">
        <v>1632.25</v>
      </c>
      <c r="K295" s="29" t="str">
        <f t="shared" si="4"/>
        <v>06-2025</v>
      </c>
    </row>
    <row r="296" ht="15" customHeight="1" spans="1:11">
      <c r="A296" t="s">
        <v>838</v>
      </c>
      <c r="B296" s="41">
        <v>45400</v>
      </c>
      <c r="C296" t="s">
        <v>311</v>
      </c>
      <c r="D296" t="s">
        <v>495</v>
      </c>
      <c r="E296" t="s">
        <v>500</v>
      </c>
      <c r="F296" t="s">
        <v>537</v>
      </c>
      <c r="G296" t="s">
        <v>557</v>
      </c>
      <c r="H296" s="27">
        <v>0</v>
      </c>
      <c r="I296" s="27">
        <v>406.15</v>
      </c>
      <c r="J296" s="27">
        <v>487.38</v>
      </c>
      <c r="K296" s="29" t="str">
        <f t="shared" si="4"/>
        <v>04-2024</v>
      </c>
    </row>
    <row r="297" ht="15" customHeight="1" spans="1:11">
      <c r="A297" t="s">
        <v>839</v>
      </c>
      <c r="B297" s="41">
        <v>45637</v>
      </c>
      <c r="C297" t="s">
        <v>282</v>
      </c>
      <c r="D297" t="s">
        <v>486</v>
      </c>
      <c r="E297" t="s">
        <v>499</v>
      </c>
      <c r="F297" t="s">
        <v>547</v>
      </c>
      <c r="G297" t="s">
        <v>540</v>
      </c>
      <c r="H297" s="27">
        <v>7.9</v>
      </c>
      <c r="I297" s="27">
        <v>1143.09</v>
      </c>
      <c r="J297" s="27">
        <v>1371.71</v>
      </c>
      <c r="K297" s="29" t="str">
        <f t="shared" si="4"/>
        <v>12-2024</v>
      </c>
    </row>
    <row r="298" ht="15" customHeight="1" spans="1:11">
      <c r="A298" t="s">
        <v>840</v>
      </c>
      <c r="B298" s="41">
        <v>45855</v>
      </c>
      <c r="C298" t="s">
        <v>353</v>
      </c>
      <c r="D298" t="s">
        <v>489</v>
      </c>
      <c r="E298" t="s">
        <v>500</v>
      </c>
      <c r="F298" t="s">
        <v>542</v>
      </c>
      <c r="G298" t="s">
        <v>557</v>
      </c>
      <c r="H298" s="27">
        <v>12.5</v>
      </c>
      <c r="I298" s="27">
        <v>1963.43</v>
      </c>
      <c r="J298" s="27">
        <v>2356.12</v>
      </c>
      <c r="K298" s="29" t="str">
        <f t="shared" si="4"/>
        <v>07-2025</v>
      </c>
    </row>
    <row r="299" ht="15" customHeight="1" spans="1:11">
      <c r="A299" t="s">
        <v>841</v>
      </c>
      <c r="B299" s="41">
        <v>45308</v>
      </c>
      <c r="C299" t="s">
        <v>245</v>
      </c>
      <c r="D299" t="s">
        <v>486</v>
      </c>
      <c r="E299" t="s">
        <v>500</v>
      </c>
      <c r="F299" t="s">
        <v>537</v>
      </c>
      <c r="G299" t="s">
        <v>538</v>
      </c>
      <c r="H299" s="27">
        <v>4.9</v>
      </c>
      <c r="I299" s="27">
        <v>3499.81</v>
      </c>
      <c r="J299" s="27">
        <v>4199.77</v>
      </c>
      <c r="K299" s="29" t="str">
        <f t="shared" si="4"/>
        <v>01-2024</v>
      </c>
    </row>
    <row r="300" ht="15" customHeight="1" spans="1:11">
      <c r="A300" t="s">
        <v>842</v>
      </c>
      <c r="B300" s="41">
        <v>45656</v>
      </c>
      <c r="C300" t="s">
        <v>121</v>
      </c>
      <c r="D300" t="s">
        <v>486</v>
      </c>
      <c r="E300" t="s">
        <v>500</v>
      </c>
      <c r="F300" t="s">
        <v>537</v>
      </c>
      <c r="G300" t="s">
        <v>538</v>
      </c>
      <c r="H300" s="27">
        <v>4.9</v>
      </c>
      <c r="I300" s="27">
        <v>113.29</v>
      </c>
      <c r="J300" s="27">
        <v>135.95</v>
      </c>
      <c r="K300" s="29" t="str">
        <f t="shared" si="4"/>
        <v>12-2024</v>
      </c>
    </row>
    <row r="301" ht="15" customHeight="1" spans="1:11">
      <c r="A301" t="s">
        <v>843</v>
      </c>
      <c r="B301" s="41">
        <v>45874</v>
      </c>
      <c r="C301" t="s">
        <v>351</v>
      </c>
      <c r="D301" t="s">
        <v>488</v>
      </c>
      <c r="E301" t="s">
        <v>501</v>
      </c>
      <c r="F301" t="s">
        <v>537</v>
      </c>
      <c r="G301" t="s">
        <v>557</v>
      </c>
      <c r="H301" s="27">
        <v>4.9</v>
      </c>
      <c r="I301" s="27">
        <v>900.52</v>
      </c>
      <c r="J301" s="27">
        <v>1080.62</v>
      </c>
      <c r="K301" s="29" t="str">
        <f t="shared" si="4"/>
        <v>08-2025</v>
      </c>
    </row>
    <row r="302" ht="15" customHeight="1" spans="1:11">
      <c r="A302" t="s">
        <v>844</v>
      </c>
      <c r="B302" s="41">
        <v>45882</v>
      </c>
      <c r="C302" t="s">
        <v>205</v>
      </c>
      <c r="D302" t="s">
        <v>484</v>
      </c>
      <c r="E302" t="s">
        <v>501</v>
      </c>
      <c r="F302" t="s">
        <v>547</v>
      </c>
      <c r="G302" t="s">
        <v>540</v>
      </c>
      <c r="H302" s="27">
        <v>7.9</v>
      </c>
      <c r="I302" s="27">
        <v>1782.02</v>
      </c>
      <c r="J302" s="27">
        <v>2138.42</v>
      </c>
      <c r="K302" s="29" t="str">
        <f t="shared" si="4"/>
        <v>08-2025</v>
      </c>
    </row>
    <row r="303" ht="15" customHeight="1" spans="1:11">
      <c r="A303" t="s">
        <v>845</v>
      </c>
      <c r="B303" s="41">
        <v>45604</v>
      </c>
      <c r="C303" t="s">
        <v>247</v>
      </c>
      <c r="D303" t="s">
        <v>482</v>
      </c>
      <c r="E303" t="s">
        <v>500</v>
      </c>
      <c r="F303" t="s">
        <v>537</v>
      </c>
      <c r="G303" t="s">
        <v>538</v>
      </c>
      <c r="H303" s="27">
        <v>7.9</v>
      </c>
      <c r="I303" s="27">
        <v>322.23</v>
      </c>
      <c r="J303" s="27">
        <v>386.68</v>
      </c>
      <c r="K303" s="29" t="str">
        <f t="shared" si="4"/>
        <v>11-2024</v>
      </c>
    </row>
    <row r="304" ht="15" customHeight="1" spans="1:11">
      <c r="A304" t="s">
        <v>846</v>
      </c>
      <c r="B304" s="41">
        <v>45901</v>
      </c>
      <c r="C304" t="s">
        <v>259</v>
      </c>
      <c r="D304" t="s">
        <v>494</v>
      </c>
      <c r="E304" t="s">
        <v>501</v>
      </c>
      <c r="F304" t="s">
        <v>537</v>
      </c>
      <c r="G304" t="s">
        <v>540</v>
      </c>
      <c r="H304" s="27">
        <v>12.5</v>
      </c>
      <c r="I304" s="27">
        <v>66.31</v>
      </c>
      <c r="J304" s="27">
        <v>79.57</v>
      </c>
      <c r="K304" s="29" t="str">
        <f t="shared" si="4"/>
        <v>09-2025</v>
      </c>
    </row>
    <row r="305" ht="15" customHeight="1" spans="1:11">
      <c r="A305" t="s">
        <v>847</v>
      </c>
      <c r="B305" s="41">
        <v>45342</v>
      </c>
      <c r="C305" t="s">
        <v>253</v>
      </c>
      <c r="D305" t="s">
        <v>492</v>
      </c>
      <c r="E305" t="s">
        <v>500</v>
      </c>
      <c r="F305" t="s">
        <v>537</v>
      </c>
      <c r="G305" t="s">
        <v>557</v>
      </c>
      <c r="H305" s="27">
        <v>4.9</v>
      </c>
      <c r="I305" s="27">
        <v>1348.04</v>
      </c>
      <c r="J305" s="27">
        <v>1617.65</v>
      </c>
      <c r="K305" s="29" t="str">
        <f t="shared" si="4"/>
        <v>02-2024</v>
      </c>
    </row>
    <row r="306" ht="15" customHeight="1" spans="1:11">
      <c r="A306" t="s">
        <v>848</v>
      </c>
      <c r="B306" s="41">
        <v>45828</v>
      </c>
      <c r="C306" t="s">
        <v>160</v>
      </c>
      <c r="D306" t="s">
        <v>488</v>
      </c>
      <c r="E306" t="s">
        <v>501</v>
      </c>
      <c r="F306" t="s">
        <v>537</v>
      </c>
      <c r="G306" t="s">
        <v>557</v>
      </c>
      <c r="H306" s="27">
        <v>7.9</v>
      </c>
      <c r="I306" s="27">
        <v>840.59</v>
      </c>
      <c r="J306" s="27">
        <v>1008.71</v>
      </c>
      <c r="K306" s="29" t="str">
        <f t="shared" si="4"/>
        <v>06-2025</v>
      </c>
    </row>
    <row r="307" ht="15" customHeight="1" spans="1:11">
      <c r="A307" t="s">
        <v>849</v>
      </c>
      <c r="B307" s="41">
        <v>45963</v>
      </c>
      <c r="C307" t="s">
        <v>54</v>
      </c>
      <c r="D307" t="s">
        <v>489</v>
      </c>
      <c r="E307" t="s">
        <v>498</v>
      </c>
      <c r="F307" t="s">
        <v>550</v>
      </c>
      <c r="G307" t="s">
        <v>557</v>
      </c>
      <c r="H307" s="27">
        <v>4.9</v>
      </c>
      <c r="I307" s="27">
        <v>445.86</v>
      </c>
      <c r="J307" s="27">
        <v>535.03</v>
      </c>
      <c r="K307" s="29" t="str">
        <f t="shared" si="4"/>
        <v>11-2025</v>
      </c>
    </row>
    <row r="308" ht="15" customHeight="1" spans="1:11">
      <c r="A308" t="s">
        <v>850</v>
      </c>
      <c r="B308" s="41">
        <v>45407</v>
      </c>
      <c r="C308" t="s">
        <v>303</v>
      </c>
      <c r="D308" t="s">
        <v>482</v>
      </c>
      <c r="E308" t="s">
        <v>498</v>
      </c>
      <c r="F308" t="s">
        <v>547</v>
      </c>
      <c r="G308" t="s">
        <v>538</v>
      </c>
      <c r="H308" s="27">
        <v>7.9</v>
      </c>
      <c r="I308" s="27">
        <v>140.38</v>
      </c>
      <c r="J308" s="27">
        <v>168.46</v>
      </c>
      <c r="K308" s="29" t="str">
        <f t="shared" si="4"/>
        <v>04-2024</v>
      </c>
    </row>
    <row r="309" ht="15" customHeight="1" spans="1:11">
      <c r="A309" t="s">
        <v>851</v>
      </c>
      <c r="B309" s="41">
        <v>45752</v>
      </c>
      <c r="C309" t="s">
        <v>232</v>
      </c>
      <c r="D309" t="s">
        <v>482</v>
      </c>
      <c r="E309" t="s">
        <v>500</v>
      </c>
      <c r="F309" t="s">
        <v>537</v>
      </c>
      <c r="G309" t="s">
        <v>538</v>
      </c>
      <c r="H309" s="27">
        <v>4.9</v>
      </c>
      <c r="I309" s="27">
        <v>1171.17</v>
      </c>
      <c r="J309" s="27">
        <v>1405.4</v>
      </c>
      <c r="K309" s="29" t="str">
        <f t="shared" si="4"/>
        <v>04-2025</v>
      </c>
    </row>
    <row r="310" ht="15" customHeight="1" spans="1:11">
      <c r="A310" t="s">
        <v>852</v>
      </c>
      <c r="B310" s="41">
        <v>46003</v>
      </c>
      <c r="C310" t="s">
        <v>292</v>
      </c>
      <c r="D310" t="s">
        <v>482</v>
      </c>
      <c r="E310" t="s">
        <v>499</v>
      </c>
      <c r="F310" t="s">
        <v>537</v>
      </c>
      <c r="G310" t="s">
        <v>545</v>
      </c>
      <c r="H310" s="27">
        <v>7.9</v>
      </c>
      <c r="I310" s="27">
        <v>98.79</v>
      </c>
      <c r="J310" s="27">
        <v>118.55</v>
      </c>
      <c r="K310" s="29" t="str">
        <f t="shared" si="4"/>
        <v>12-2025</v>
      </c>
    </row>
    <row r="311" ht="15" customHeight="1" spans="1:11">
      <c r="A311" t="s">
        <v>853</v>
      </c>
      <c r="B311" s="41">
        <v>45924</v>
      </c>
      <c r="C311" t="s">
        <v>170</v>
      </c>
      <c r="D311" t="s">
        <v>482</v>
      </c>
      <c r="E311" t="s">
        <v>499</v>
      </c>
      <c r="F311" t="s">
        <v>537</v>
      </c>
      <c r="G311" t="s">
        <v>545</v>
      </c>
      <c r="H311" s="27">
        <v>0</v>
      </c>
      <c r="I311" s="27">
        <v>348.52</v>
      </c>
      <c r="J311" s="27">
        <v>418.22</v>
      </c>
      <c r="K311" s="29" t="str">
        <f t="shared" si="4"/>
        <v>09-2025</v>
      </c>
    </row>
    <row r="312" ht="15" customHeight="1" spans="1:11">
      <c r="A312" t="s">
        <v>854</v>
      </c>
      <c r="B312" s="41">
        <v>45591</v>
      </c>
      <c r="C312" t="s">
        <v>338</v>
      </c>
      <c r="D312" t="s">
        <v>492</v>
      </c>
      <c r="E312" t="s">
        <v>498</v>
      </c>
      <c r="F312" t="s">
        <v>542</v>
      </c>
      <c r="G312" t="s">
        <v>545</v>
      </c>
      <c r="H312" s="27">
        <v>7.9</v>
      </c>
      <c r="I312" s="27">
        <v>1500.47</v>
      </c>
      <c r="J312" s="27">
        <v>1800.56</v>
      </c>
      <c r="K312" s="29" t="str">
        <f t="shared" si="4"/>
        <v>10-2024</v>
      </c>
    </row>
    <row r="313" ht="15" customHeight="1" spans="1:11">
      <c r="A313" t="s">
        <v>855</v>
      </c>
      <c r="B313" s="41">
        <v>45866</v>
      </c>
      <c r="C313" t="s">
        <v>353</v>
      </c>
      <c r="D313" t="s">
        <v>482</v>
      </c>
      <c r="E313" t="s">
        <v>501</v>
      </c>
      <c r="F313" t="s">
        <v>537</v>
      </c>
      <c r="G313" t="s">
        <v>540</v>
      </c>
      <c r="H313" s="27">
        <v>7.9</v>
      </c>
      <c r="I313" s="27">
        <v>105.8</v>
      </c>
      <c r="J313" s="27">
        <v>126.96</v>
      </c>
      <c r="K313" s="29" t="str">
        <f t="shared" si="4"/>
        <v>07-2025</v>
      </c>
    </row>
    <row r="314" ht="15" customHeight="1" spans="1:11">
      <c r="A314" t="s">
        <v>856</v>
      </c>
      <c r="B314" s="41">
        <v>45601</v>
      </c>
      <c r="C314" t="s">
        <v>158</v>
      </c>
      <c r="D314" t="s">
        <v>494</v>
      </c>
      <c r="E314" t="s">
        <v>500</v>
      </c>
      <c r="F314" t="s">
        <v>537</v>
      </c>
      <c r="G314" t="s">
        <v>540</v>
      </c>
      <c r="H314" s="27">
        <v>12.5</v>
      </c>
      <c r="I314" s="27">
        <v>5019.73</v>
      </c>
      <c r="J314" s="27">
        <v>6023.68</v>
      </c>
      <c r="K314" s="29" t="str">
        <f t="shared" si="4"/>
        <v>11-2024</v>
      </c>
    </row>
    <row r="315" ht="15" customHeight="1" spans="1:11">
      <c r="A315" t="s">
        <v>857</v>
      </c>
      <c r="B315" s="41">
        <v>45919</v>
      </c>
      <c r="C315" t="s">
        <v>338</v>
      </c>
      <c r="D315" t="s">
        <v>488</v>
      </c>
      <c r="E315" t="s">
        <v>499</v>
      </c>
      <c r="F315" t="s">
        <v>537</v>
      </c>
      <c r="G315" t="s">
        <v>538</v>
      </c>
      <c r="H315" s="27">
        <v>12.5</v>
      </c>
      <c r="I315" s="27">
        <v>3078.61</v>
      </c>
      <c r="J315" s="27">
        <v>3694.33</v>
      </c>
      <c r="K315" s="29" t="str">
        <f t="shared" si="4"/>
        <v>09-2025</v>
      </c>
    </row>
    <row r="316" ht="15" customHeight="1" spans="1:11">
      <c r="A316" t="s">
        <v>858</v>
      </c>
      <c r="B316" s="41">
        <v>45440</v>
      </c>
      <c r="C316" t="s">
        <v>280</v>
      </c>
      <c r="D316" t="s">
        <v>495</v>
      </c>
      <c r="E316" t="s">
        <v>498</v>
      </c>
      <c r="F316" t="s">
        <v>537</v>
      </c>
      <c r="G316" t="s">
        <v>545</v>
      </c>
      <c r="H316" s="27">
        <v>4.9</v>
      </c>
      <c r="I316" s="27">
        <v>621.29</v>
      </c>
      <c r="J316" s="27">
        <v>745.55</v>
      </c>
      <c r="K316" s="29" t="str">
        <f t="shared" si="4"/>
        <v>05-2024</v>
      </c>
    </row>
    <row r="317" ht="15" customHeight="1" spans="1:11">
      <c r="A317" t="s">
        <v>859</v>
      </c>
      <c r="B317" s="41">
        <v>45745</v>
      </c>
      <c r="C317" t="s">
        <v>305</v>
      </c>
      <c r="D317" t="s">
        <v>489</v>
      </c>
      <c r="E317" t="s">
        <v>498</v>
      </c>
      <c r="F317" t="s">
        <v>537</v>
      </c>
      <c r="G317" t="s">
        <v>545</v>
      </c>
      <c r="H317" s="27">
        <v>4.9</v>
      </c>
      <c r="I317" s="27">
        <v>371.47</v>
      </c>
      <c r="J317" s="27">
        <v>445.76</v>
      </c>
      <c r="K317" s="29" t="str">
        <f t="shared" si="4"/>
        <v>03-2025</v>
      </c>
    </row>
    <row r="318" ht="15" customHeight="1" spans="1:11">
      <c r="A318" t="s">
        <v>860</v>
      </c>
      <c r="B318" s="41">
        <v>45565</v>
      </c>
      <c r="C318" t="s">
        <v>267</v>
      </c>
      <c r="D318" t="s">
        <v>495</v>
      </c>
      <c r="E318" t="s">
        <v>498</v>
      </c>
      <c r="F318" t="s">
        <v>537</v>
      </c>
      <c r="G318" t="s">
        <v>538</v>
      </c>
      <c r="H318" s="27">
        <v>0</v>
      </c>
      <c r="I318" s="27">
        <v>1247.8</v>
      </c>
      <c r="J318" s="27">
        <v>1497.36</v>
      </c>
      <c r="K318" s="29" t="str">
        <f t="shared" si="4"/>
        <v>09-2024</v>
      </c>
    </row>
    <row r="319" ht="15" customHeight="1" spans="1:11">
      <c r="A319" t="s">
        <v>861</v>
      </c>
      <c r="B319" s="41">
        <v>46021</v>
      </c>
      <c r="C319" t="s">
        <v>280</v>
      </c>
      <c r="D319" t="s">
        <v>491</v>
      </c>
      <c r="E319" t="s">
        <v>498</v>
      </c>
      <c r="F319" t="s">
        <v>537</v>
      </c>
      <c r="G319" t="s">
        <v>557</v>
      </c>
      <c r="H319" s="27">
        <v>12.5</v>
      </c>
      <c r="I319" s="27">
        <v>377.21</v>
      </c>
      <c r="J319" s="27">
        <v>452.65</v>
      </c>
      <c r="K319" s="29" t="str">
        <f t="shared" si="4"/>
        <v>12-2025</v>
      </c>
    </row>
    <row r="320" ht="15" customHeight="1" spans="1:11">
      <c r="A320" t="s">
        <v>862</v>
      </c>
      <c r="B320" s="41">
        <v>45307</v>
      </c>
      <c r="C320" t="s">
        <v>353</v>
      </c>
      <c r="D320" t="s">
        <v>489</v>
      </c>
      <c r="E320" t="s">
        <v>499</v>
      </c>
      <c r="F320" t="s">
        <v>537</v>
      </c>
      <c r="G320" t="s">
        <v>538</v>
      </c>
      <c r="H320" s="27">
        <v>4.9</v>
      </c>
      <c r="I320" s="27">
        <v>186.31</v>
      </c>
      <c r="J320" s="27">
        <v>223.57</v>
      </c>
      <c r="K320" s="29" t="str">
        <f t="shared" si="4"/>
        <v>01-2024</v>
      </c>
    </row>
    <row r="321" ht="15" customHeight="1" spans="1:11">
      <c r="A321" t="s">
        <v>863</v>
      </c>
      <c r="B321" s="41">
        <v>45996</v>
      </c>
      <c r="C321" t="s">
        <v>187</v>
      </c>
      <c r="D321" t="s">
        <v>493</v>
      </c>
      <c r="E321" t="s">
        <v>498</v>
      </c>
      <c r="F321" t="s">
        <v>537</v>
      </c>
      <c r="G321" t="s">
        <v>545</v>
      </c>
      <c r="H321" s="27">
        <v>12.5</v>
      </c>
      <c r="I321" s="27">
        <v>1335.21</v>
      </c>
      <c r="J321" s="27">
        <v>1602.25</v>
      </c>
      <c r="K321" s="29" t="str">
        <f t="shared" si="4"/>
        <v>12-2025</v>
      </c>
    </row>
    <row r="322" ht="15" customHeight="1" spans="1:11">
      <c r="A322" t="s">
        <v>864</v>
      </c>
      <c r="B322" s="41">
        <v>45825</v>
      </c>
      <c r="C322" t="s">
        <v>102</v>
      </c>
      <c r="D322" t="s">
        <v>493</v>
      </c>
      <c r="E322" t="s">
        <v>499</v>
      </c>
      <c r="F322" t="s">
        <v>537</v>
      </c>
      <c r="G322" t="s">
        <v>545</v>
      </c>
      <c r="H322" s="27">
        <v>4.9</v>
      </c>
      <c r="I322" s="27">
        <v>751.97</v>
      </c>
      <c r="J322" s="27">
        <v>902.36</v>
      </c>
      <c r="K322" s="29" t="str">
        <f t="shared" si="4"/>
        <v>06-2025</v>
      </c>
    </row>
    <row r="323" ht="15" customHeight="1" spans="1:11">
      <c r="A323" t="s">
        <v>865</v>
      </c>
      <c r="B323" s="41">
        <v>45342</v>
      </c>
      <c r="C323" t="s">
        <v>139</v>
      </c>
      <c r="D323" t="s">
        <v>489</v>
      </c>
      <c r="E323" t="s">
        <v>499</v>
      </c>
      <c r="F323" t="s">
        <v>537</v>
      </c>
      <c r="G323" t="s">
        <v>540</v>
      </c>
      <c r="H323" s="27">
        <v>7.9</v>
      </c>
      <c r="I323" s="27">
        <v>128.97</v>
      </c>
      <c r="J323" s="27">
        <v>154.76</v>
      </c>
      <c r="K323" s="29" t="str">
        <f t="shared" ref="K323:K386" si="5">TEXT(B323,"mm-yyyy")</f>
        <v>02-2024</v>
      </c>
    </row>
    <row r="324" ht="15" customHeight="1" spans="1:11">
      <c r="A324" t="s">
        <v>866</v>
      </c>
      <c r="B324" s="41">
        <v>45766</v>
      </c>
      <c r="C324" t="s">
        <v>328</v>
      </c>
      <c r="D324" t="s">
        <v>493</v>
      </c>
      <c r="E324" t="s">
        <v>501</v>
      </c>
      <c r="F324" t="s">
        <v>537</v>
      </c>
      <c r="G324" t="s">
        <v>545</v>
      </c>
      <c r="H324" s="27">
        <v>4.9</v>
      </c>
      <c r="I324" s="27">
        <v>497.64</v>
      </c>
      <c r="J324" s="27">
        <v>597.17</v>
      </c>
      <c r="K324" s="29" t="str">
        <f t="shared" si="5"/>
        <v>04-2025</v>
      </c>
    </row>
    <row r="325" ht="15" customHeight="1" spans="1:11">
      <c r="A325" t="s">
        <v>867</v>
      </c>
      <c r="B325" s="41">
        <v>45498</v>
      </c>
      <c r="C325" t="s">
        <v>340</v>
      </c>
      <c r="D325" t="s">
        <v>493</v>
      </c>
      <c r="E325" t="s">
        <v>501</v>
      </c>
      <c r="F325" t="s">
        <v>537</v>
      </c>
      <c r="G325" t="s">
        <v>538</v>
      </c>
      <c r="H325" s="27">
        <v>0</v>
      </c>
      <c r="I325" s="27">
        <v>49.53</v>
      </c>
      <c r="J325" s="27">
        <v>59.44</v>
      </c>
      <c r="K325" s="29" t="str">
        <f t="shared" si="5"/>
        <v>07-2024</v>
      </c>
    </row>
    <row r="326" ht="15" customHeight="1" spans="1:11">
      <c r="A326" t="s">
        <v>868</v>
      </c>
      <c r="B326" s="41">
        <v>45379</v>
      </c>
      <c r="C326" t="s">
        <v>247</v>
      </c>
      <c r="D326" t="s">
        <v>492</v>
      </c>
      <c r="E326" t="s">
        <v>498</v>
      </c>
      <c r="F326" t="s">
        <v>537</v>
      </c>
      <c r="G326" t="s">
        <v>557</v>
      </c>
      <c r="H326" s="27">
        <v>0</v>
      </c>
      <c r="I326" s="27">
        <v>916.69</v>
      </c>
      <c r="J326" s="27">
        <v>1100.03</v>
      </c>
      <c r="K326" s="29" t="str">
        <f t="shared" si="5"/>
        <v>03-2024</v>
      </c>
    </row>
    <row r="327" ht="15" customHeight="1" spans="1:11">
      <c r="A327" t="s">
        <v>869</v>
      </c>
      <c r="B327" s="41">
        <v>45721</v>
      </c>
      <c r="C327" t="s">
        <v>183</v>
      </c>
      <c r="D327" t="s">
        <v>489</v>
      </c>
      <c r="E327" t="s">
        <v>499</v>
      </c>
      <c r="F327" t="s">
        <v>537</v>
      </c>
      <c r="G327" t="s">
        <v>538</v>
      </c>
      <c r="H327" s="27">
        <v>0</v>
      </c>
      <c r="I327" s="27">
        <v>3941.41</v>
      </c>
      <c r="J327" s="27">
        <v>4729.69</v>
      </c>
      <c r="K327" s="29" t="str">
        <f t="shared" si="5"/>
        <v>03-2025</v>
      </c>
    </row>
    <row r="328" ht="15" customHeight="1" spans="1:11">
      <c r="A328" t="s">
        <v>870</v>
      </c>
      <c r="B328" s="41">
        <v>45967</v>
      </c>
      <c r="C328" t="s">
        <v>232</v>
      </c>
      <c r="D328" t="s">
        <v>493</v>
      </c>
      <c r="E328" t="s">
        <v>499</v>
      </c>
      <c r="F328" t="s">
        <v>537</v>
      </c>
      <c r="G328" t="s">
        <v>545</v>
      </c>
      <c r="H328" s="27">
        <v>4.9</v>
      </c>
      <c r="I328" s="27">
        <v>1341.06</v>
      </c>
      <c r="J328" s="27">
        <v>1609.27</v>
      </c>
      <c r="K328" s="29" t="str">
        <f t="shared" si="5"/>
        <v>11-2025</v>
      </c>
    </row>
    <row r="329" ht="15" customHeight="1" spans="1:11">
      <c r="A329" t="s">
        <v>871</v>
      </c>
      <c r="B329" s="41">
        <v>45883</v>
      </c>
      <c r="C329" t="s">
        <v>330</v>
      </c>
      <c r="D329" t="s">
        <v>495</v>
      </c>
      <c r="E329" t="s">
        <v>500</v>
      </c>
      <c r="F329" t="s">
        <v>537</v>
      </c>
      <c r="G329" t="s">
        <v>545</v>
      </c>
      <c r="H329" s="27">
        <v>0</v>
      </c>
      <c r="I329" s="27">
        <v>225.64</v>
      </c>
      <c r="J329" s="27">
        <v>270.77</v>
      </c>
      <c r="K329" s="29" t="str">
        <f t="shared" si="5"/>
        <v>08-2025</v>
      </c>
    </row>
    <row r="330" ht="15" customHeight="1" spans="1:11">
      <c r="A330" t="s">
        <v>872</v>
      </c>
      <c r="B330" s="41">
        <v>45917</v>
      </c>
      <c r="C330" t="s">
        <v>282</v>
      </c>
      <c r="D330" t="s">
        <v>495</v>
      </c>
      <c r="E330" t="s">
        <v>498</v>
      </c>
      <c r="F330" t="s">
        <v>542</v>
      </c>
      <c r="G330" t="s">
        <v>540</v>
      </c>
      <c r="H330" s="27">
        <v>0</v>
      </c>
      <c r="I330" s="27">
        <v>108.39</v>
      </c>
      <c r="J330" s="27">
        <v>130.07</v>
      </c>
      <c r="K330" s="29" t="str">
        <f t="shared" si="5"/>
        <v>09-2025</v>
      </c>
    </row>
    <row r="331" ht="15" customHeight="1" spans="1:11">
      <c r="A331" t="s">
        <v>873</v>
      </c>
      <c r="B331" s="41">
        <v>45361</v>
      </c>
      <c r="C331" t="s">
        <v>309</v>
      </c>
      <c r="D331" t="s">
        <v>492</v>
      </c>
      <c r="E331" t="s">
        <v>501</v>
      </c>
      <c r="F331" t="s">
        <v>537</v>
      </c>
      <c r="G331" t="s">
        <v>538</v>
      </c>
      <c r="H331" s="27">
        <v>0</v>
      </c>
      <c r="I331" s="27">
        <v>731.53</v>
      </c>
      <c r="J331" s="27">
        <v>877.84</v>
      </c>
      <c r="K331" s="29" t="str">
        <f t="shared" si="5"/>
        <v>03-2024</v>
      </c>
    </row>
    <row r="332" ht="15" customHeight="1" spans="1:11">
      <c r="A332" t="s">
        <v>874</v>
      </c>
      <c r="B332" s="41">
        <v>45936</v>
      </c>
      <c r="C332" t="s">
        <v>247</v>
      </c>
      <c r="D332" t="s">
        <v>484</v>
      </c>
      <c r="E332" t="s">
        <v>499</v>
      </c>
      <c r="F332" t="s">
        <v>537</v>
      </c>
      <c r="G332" t="s">
        <v>540</v>
      </c>
      <c r="H332" s="27">
        <v>12.5</v>
      </c>
      <c r="I332" s="27">
        <v>445.92</v>
      </c>
      <c r="J332" s="27">
        <v>535.1</v>
      </c>
      <c r="K332" s="29" t="str">
        <f t="shared" si="5"/>
        <v>10-2025</v>
      </c>
    </row>
    <row r="333" ht="15" customHeight="1" spans="1:11">
      <c r="A333" t="s">
        <v>875</v>
      </c>
      <c r="B333" s="41">
        <v>45921</v>
      </c>
      <c r="C333" t="s">
        <v>257</v>
      </c>
      <c r="D333" t="s">
        <v>493</v>
      </c>
      <c r="E333" t="s">
        <v>499</v>
      </c>
      <c r="F333" t="s">
        <v>537</v>
      </c>
      <c r="G333" t="s">
        <v>538</v>
      </c>
      <c r="H333" s="27">
        <v>4.9</v>
      </c>
      <c r="I333" s="27">
        <v>601.83</v>
      </c>
      <c r="J333" s="27">
        <v>722.2</v>
      </c>
      <c r="K333" s="29" t="str">
        <f t="shared" si="5"/>
        <v>09-2025</v>
      </c>
    </row>
    <row r="334" ht="15" customHeight="1" spans="1:11">
      <c r="A334" t="s">
        <v>876</v>
      </c>
      <c r="B334" s="41">
        <v>45716</v>
      </c>
      <c r="C334" t="s">
        <v>213</v>
      </c>
      <c r="D334" t="s">
        <v>482</v>
      </c>
      <c r="E334" t="s">
        <v>500</v>
      </c>
      <c r="F334" t="s">
        <v>537</v>
      </c>
      <c r="G334" t="s">
        <v>538</v>
      </c>
      <c r="H334" s="27">
        <v>0</v>
      </c>
      <c r="I334" s="27">
        <v>146.85</v>
      </c>
      <c r="J334" s="27">
        <v>176.22</v>
      </c>
      <c r="K334" s="29" t="str">
        <f t="shared" si="5"/>
        <v>02-2025</v>
      </c>
    </row>
    <row r="335" ht="15" customHeight="1" spans="1:11">
      <c r="A335" t="s">
        <v>877</v>
      </c>
      <c r="B335" s="41">
        <v>45623</v>
      </c>
      <c r="C335" t="s">
        <v>311</v>
      </c>
      <c r="D335" t="s">
        <v>482</v>
      </c>
      <c r="E335" t="s">
        <v>501</v>
      </c>
      <c r="F335" t="s">
        <v>537</v>
      </c>
      <c r="G335" t="s">
        <v>540</v>
      </c>
      <c r="H335" s="27">
        <v>12.5</v>
      </c>
      <c r="I335" s="27">
        <v>3542.03</v>
      </c>
      <c r="J335" s="27">
        <v>4250.44</v>
      </c>
      <c r="K335" s="29" t="str">
        <f t="shared" si="5"/>
        <v>11-2024</v>
      </c>
    </row>
    <row r="336" ht="15" customHeight="1" spans="1:11">
      <c r="A336" t="s">
        <v>878</v>
      </c>
      <c r="B336" s="41">
        <v>45328</v>
      </c>
      <c r="C336" t="s">
        <v>278</v>
      </c>
      <c r="D336" t="s">
        <v>486</v>
      </c>
      <c r="E336" t="s">
        <v>499</v>
      </c>
      <c r="F336" t="s">
        <v>537</v>
      </c>
      <c r="G336" t="s">
        <v>557</v>
      </c>
      <c r="H336" s="27">
        <v>7.9</v>
      </c>
      <c r="I336" s="27">
        <v>452.55</v>
      </c>
      <c r="J336" s="27">
        <v>543.06</v>
      </c>
      <c r="K336" s="29" t="str">
        <f t="shared" si="5"/>
        <v>02-2024</v>
      </c>
    </row>
    <row r="337" ht="15" customHeight="1" spans="1:11">
      <c r="A337" t="s">
        <v>879</v>
      </c>
      <c r="B337" s="41">
        <v>45986</v>
      </c>
      <c r="C337" t="s">
        <v>185</v>
      </c>
      <c r="D337" t="s">
        <v>494</v>
      </c>
      <c r="E337" t="s">
        <v>501</v>
      </c>
      <c r="F337" t="s">
        <v>537</v>
      </c>
      <c r="G337" t="s">
        <v>540</v>
      </c>
      <c r="H337" s="27">
        <v>7.9</v>
      </c>
      <c r="I337" s="27">
        <v>146.03</v>
      </c>
      <c r="J337" s="27">
        <v>175.24</v>
      </c>
      <c r="K337" s="29" t="str">
        <f t="shared" si="5"/>
        <v>11-2025</v>
      </c>
    </row>
    <row r="338" ht="15" customHeight="1" spans="1:11">
      <c r="A338" t="s">
        <v>880</v>
      </c>
      <c r="B338" s="41">
        <v>45639</v>
      </c>
      <c r="C338" t="s">
        <v>205</v>
      </c>
      <c r="D338" t="s">
        <v>494</v>
      </c>
      <c r="E338" t="s">
        <v>498</v>
      </c>
      <c r="F338" t="s">
        <v>537</v>
      </c>
      <c r="G338" t="s">
        <v>557</v>
      </c>
      <c r="H338" s="27">
        <v>4.9</v>
      </c>
      <c r="I338" s="27">
        <v>92.68</v>
      </c>
      <c r="J338" s="27">
        <v>111.22</v>
      </c>
      <c r="K338" s="29" t="str">
        <f t="shared" si="5"/>
        <v>12-2024</v>
      </c>
    </row>
    <row r="339" ht="15" customHeight="1" spans="1:11">
      <c r="A339" t="s">
        <v>881</v>
      </c>
      <c r="B339" s="41">
        <v>45380</v>
      </c>
      <c r="C339" t="s">
        <v>238</v>
      </c>
      <c r="D339" t="s">
        <v>488</v>
      </c>
      <c r="E339" t="s">
        <v>500</v>
      </c>
      <c r="F339" t="s">
        <v>537</v>
      </c>
      <c r="G339" t="s">
        <v>540</v>
      </c>
      <c r="H339" s="27">
        <v>4.9</v>
      </c>
      <c r="I339" s="27">
        <v>272.54</v>
      </c>
      <c r="J339" s="27">
        <v>327.05</v>
      </c>
      <c r="K339" s="29" t="str">
        <f t="shared" si="5"/>
        <v>03-2024</v>
      </c>
    </row>
    <row r="340" ht="15" customHeight="1" spans="1:11">
      <c r="A340" t="s">
        <v>882</v>
      </c>
      <c r="B340" s="41">
        <v>45746</v>
      </c>
      <c r="C340" t="s">
        <v>241</v>
      </c>
      <c r="D340" t="s">
        <v>482</v>
      </c>
      <c r="E340" t="s">
        <v>499</v>
      </c>
      <c r="F340" t="s">
        <v>547</v>
      </c>
      <c r="G340" t="s">
        <v>538</v>
      </c>
      <c r="H340" s="27">
        <v>4.9</v>
      </c>
      <c r="I340" s="27">
        <v>1055.52</v>
      </c>
      <c r="J340" s="27">
        <v>1266.62</v>
      </c>
      <c r="K340" s="29" t="str">
        <f t="shared" si="5"/>
        <v>03-2025</v>
      </c>
    </row>
    <row r="341" ht="15" customHeight="1" spans="1:11">
      <c r="A341" t="s">
        <v>883</v>
      </c>
      <c r="B341" s="41">
        <v>45392</v>
      </c>
      <c r="C341" t="s">
        <v>326</v>
      </c>
      <c r="D341" t="s">
        <v>494</v>
      </c>
      <c r="E341" t="s">
        <v>498</v>
      </c>
      <c r="F341" t="s">
        <v>537</v>
      </c>
      <c r="G341" t="s">
        <v>545</v>
      </c>
      <c r="H341" s="27">
        <v>12.5</v>
      </c>
      <c r="I341" s="27">
        <v>777.28</v>
      </c>
      <c r="J341" s="27">
        <v>932.74</v>
      </c>
      <c r="K341" s="29" t="str">
        <f t="shared" si="5"/>
        <v>04-2024</v>
      </c>
    </row>
    <row r="342" ht="15" customHeight="1" spans="1:11">
      <c r="A342" t="s">
        <v>884</v>
      </c>
      <c r="B342" s="41">
        <v>45381</v>
      </c>
      <c r="C342" t="s">
        <v>190</v>
      </c>
      <c r="D342" t="s">
        <v>493</v>
      </c>
      <c r="E342" t="s">
        <v>501</v>
      </c>
      <c r="F342" t="s">
        <v>537</v>
      </c>
      <c r="G342" t="s">
        <v>540</v>
      </c>
      <c r="H342" s="27">
        <v>0</v>
      </c>
      <c r="I342" s="27">
        <v>292.16</v>
      </c>
      <c r="J342" s="27">
        <v>350.59</v>
      </c>
      <c r="K342" s="29" t="str">
        <f t="shared" si="5"/>
        <v>03-2024</v>
      </c>
    </row>
    <row r="343" ht="15" customHeight="1" spans="1:11">
      <c r="A343" t="s">
        <v>885</v>
      </c>
      <c r="B343" s="41">
        <v>45575</v>
      </c>
      <c r="C343" t="s">
        <v>249</v>
      </c>
      <c r="D343" t="s">
        <v>491</v>
      </c>
      <c r="E343" t="s">
        <v>499</v>
      </c>
      <c r="F343" t="s">
        <v>537</v>
      </c>
      <c r="G343" t="s">
        <v>540</v>
      </c>
      <c r="H343" s="27">
        <v>4.9</v>
      </c>
      <c r="I343" s="27">
        <v>39.02</v>
      </c>
      <c r="J343" s="27">
        <v>46.82</v>
      </c>
      <c r="K343" s="29" t="str">
        <f t="shared" si="5"/>
        <v>10-2024</v>
      </c>
    </row>
    <row r="344" ht="15" customHeight="1" spans="1:11">
      <c r="A344" t="s">
        <v>886</v>
      </c>
      <c r="B344" s="41">
        <v>45865</v>
      </c>
      <c r="C344" t="s">
        <v>243</v>
      </c>
      <c r="D344" t="s">
        <v>484</v>
      </c>
      <c r="E344" t="s">
        <v>498</v>
      </c>
      <c r="F344" t="s">
        <v>537</v>
      </c>
      <c r="G344" t="s">
        <v>540</v>
      </c>
      <c r="H344" s="27">
        <v>7.9</v>
      </c>
      <c r="I344" s="27">
        <v>141.63</v>
      </c>
      <c r="J344" s="27">
        <v>169.96</v>
      </c>
      <c r="K344" s="29" t="str">
        <f t="shared" si="5"/>
        <v>07-2025</v>
      </c>
    </row>
    <row r="345" ht="15" customHeight="1" spans="1:11">
      <c r="A345" t="s">
        <v>887</v>
      </c>
      <c r="B345" s="41">
        <v>45542</v>
      </c>
      <c r="C345" t="s">
        <v>130</v>
      </c>
      <c r="D345" t="s">
        <v>484</v>
      </c>
      <c r="E345" t="s">
        <v>500</v>
      </c>
      <c r="F345" t="s">
        <v>537</v>
      </c>
      <c r="G345" t="s">
        <v>540</v>
      </c>
      <c r="H345" s="27">
        <v>12.5</v>
      </c>
      <c r="I345" s="27">
        <v>1662.49</v>
      </c>
      <c r="J345" s="27">
        <v>1994.99</v>
      </c>
      <c r="K345" s="29" t="str">
        <f t="shared" si="5"/>
        <v>09-2024</v>
      </c>
    </row>
    <row r="346" ht="15" customHeight="1" spans="1:11">
      <c r="A346" t="s">
        <v>888</v>
      </c>
      <c r="B346" s="41">
        <v>45343</v>
      </c>
      <c r="C346" t="s">
        <v>102</v>
      </c>
      <c r="D346" t="s">
        <v>492</v>
      </c>
      <c r="E346" t="s">
        <v>501</v>
      </c>
      <c r="F346" t="s">
        <v>537</v>
      </c>
      <c r="G346" t="s">
        <v>557</v>
      </c>
      <c r="H346" s="27">
        <v>4.9</v>
      </c>
      <c r="I346" s="27">
        <v>1078.25</v>
      </c>
      <c r="J346" s="27">
        <v>1293.9</v>
      </c>
      <c r="K346" s="29" t="str">
        <f t="shared" si="5"/>
        <v>02-2024</v>
      </c>
    </row>
    <row r="347" ht="15" customHeight="1" spans="1:11">
      <c r="A347" t="s">
        <v>889</v>
      </c>
      <c r="B347" s="41">
        <v>45978</v>
      </c>
      <c r="C347" t="s">
        <v>322</v>
      </c>
      <c r="D347" t="s">
        <v>494</v>
      </c>
      <c r="E347" t="s">
        <v>501</v>
      </c>
      <c r="F347" t="s">
        <v>542</v>
      </c>
      <c r="G347" t="s">
        <v>557</v>
      </c>
      <c r="H347" s="27">
        <v>4.9</v>
      </c>
      <c r="I347" s="27">
        <v>88.8</v>
      </c>
      <c r="J347" s="27">
        <v>106.56</v>
      </c>
      <c r="K347" s="29" t="str">
        <f t="shared" si="5"/>
        <v>11-2025</v>
      </c>
    </row>
    <row r="348" ht="15" customHeight="1" spans="1:11">
      <c r="A348" t="s">
        <v>890</v>
      </c>
      <c r="B348" s="41">
        <v>45609</v>
      </c>
      <c r="C348" t="s">
        <v>288</v>
      </c>
      <c r="D348" t="s">
        <v>493</v>
      </c>
      <c r="E348" t="s">
        <v>499</v>
      </c>
      <c r="F348" t="s">
        <v>537</v>
      </c>
      <c r="G348" t="s">
        <v>538</v>
      </c>
      <c r="H348" s="27">
        <v>4.9</v>
      </c>
      <c r="I348" s="27">
        <v>707.08</v>
      </c>
      <c r="J348" s="27">
        <v>848.5</v>
      </c>
      <c r="K348" s="29" t="str">
        <f t="shared" si="5"/>
        <v>11-2024</v>
      </c>
    </row>
    <row r="349" ht="15" customHeight="1" spans="1:11">
      <c r="A349" t="s">
        <v>891</v>
      </c>
      <c r="B349" s="41">
        <v>45778</v>
      </c>
      <c r="C349" t="s">
        <v>105</v>
      </c>
      <c r="D349" t="s">
        <v>491</v>
      </c>
      <c r="E349" t="s">
        <v>499</v>
      </c>
      <c r="F349" t="s">
        <v>537</v>
      </c>
      <c r="G349" t="s">
        <v>538</v>
      </c>
      <c r="H349" s="27">
        <v>7.9</v>
      </c>
      <c r="I349" s="27">
        <v>761.17</v>
      </c>
      <c r="J349" s="27">
        <v>913.4</v>
      </c>
      <c r="K349" s="29" t="str">
        <f t="shared" si="5"/>
        <v>05-2025</v>
      </c>
    </row>
    <row r="350" ht="15" customHeight="1" spans="1:11">
      <c r="A350" t="s">
        <v>892</v>
      </c>
      <c r="B350" s="41">
        <v>45364</v>
      </c>
      <c r="C350" t="s">
        <v>317</v>
      </c>
      <c r="D350" t="s">
        <v>489</v>
      </c>
      <c r="E350" t="s">
        <v>499</v>
      </c>
      <c r="F350" t="s">
        <v>537</v>
      </c>
      <c r="G350" t="s">
        <v>557</v>
      </c>
      <c r="H350" s="27">
        <v>4.9</v>
      </c>
      <c r="I350" s="27">
        <v>482.63</v>
      </c>
      <c r="J350" s="27">
        <v>579.16</v>
      </c>
      <c r="K350" s="29" t="str">
        <f t="shared" si="5"/>
        <v>03-2024</v>
      </c>
    </row>
    <row r="351" ht="15" customHeight="1" spans="1:11">
      <c r="A351" t="s">
        <v>893</v>
      </c>
      <c r="B351" s="41">
        <v>46002</v>
      </c>
      <c r="C351" t="s">
        <v>263</v>
      </c>
      <c r="D351" t="s">
        <v>492</v>
      </c>
      <c r="E351" t="s">
        <v>499</v>
      </c>
      <c r="F351" t="s">
        <v>537</v>
      </c>
      <c r="G351" t="s">
        <v>540</v>
      </c>
      <c r="H351" s="27">
        <v>4.9</v>
      </c>
      <c r="I351" s="27">
        <v>55.76</v>
      </c>
      <c r="J351" s="27">
        <v>66.91</v>
      </c>
      <c r="K351" s="29" t="str">
        <f t="shared" si="5"/>
        <v>12-2025</v>
      </c>
    </row>
    <row r="352" ht="15" customHeight="1" spans="1:11">
      <c r="A352" t="s">
        <v>894</v>
      </c>
      <c r="B352" s="41">
        <v>45879</v>
      </c>
      <c r="C352" t="s">
        <v>330</v>
      </c>
      <c r="D352" t="s">
        <v>493</v>
      </c>
      <c r="E352" t="s">
        <v>501</v>
      </c>
      <c r="F352" t="s">
        <v>537</v>
      </c>
      <c r="G352" t="s">
        <v>557</v>
      </c>
      <c r="H352" s="27">
        <v>7.9</v>
      </c>
      <c r="I352" s="27">
        <v>197.65</v>
      </c>
      <c r="J352" s="27">
        <v>237.18</v>
      </c>
      <c r="K352" s="29" t="str">
        <f t="shared" si="5"/>
        <v>08-2025</v>
      </c>
    </row>
    <row r="353" ht="15" customHeight="1" spans="1:11">
      <c r="A353" t="s">
        <v>895</v>
      </c>
      <c r="B353" s="41">
        <v>45902</v>
      </c>
      <c r="C353" t="s">
        <v>311</v>
      </c>
      <c r="D353" t="s">
        <v>492</v>
      </c>
      <c r="E353" t="s">
        <v>500</v>
      </c>
      <c r="F353" t="s">
        <v>537</v>
      </c>
      <c r="G353" t="s">
        <v>545</v>
      </c>
      <c r="H353" s="27">
        <v>0</v>
      </c>
      <c r="I353" s="27">
        <v>409.26</v>
      </c>
      <c r="J353" s="27">
        <v>491.11</v>
      </c>
      <c r="K353" s="29" t="str">
        <f t="shared" si="5"/>
        <v>09-2025</v>
      </c>
    </row>
    <row r="354" ht="15" customHeight="1" spans="1:11">
      <c r="A354" t="s">
        <v>896</v>
      </c>
      <c r="B354" s="41">
        <v>45292</v>
      </c>
      <c r="C354" t="s">
        <v>307</v>
      </c>
      <c r="D354" t="s">
        <v>486</v>
      </c>
      <c r="E354" t="s">
        <v>498</v>
      </c>
      <c r="F354" t="s">
        <v>537</v>
      </c>
      <c r="G354" t="s">
        <v>540</v>
      </c>
      <c r="H354" s="27">
        <v>12.5</v>
      </c>
      <c r="I354" s="27">
        <v>107.45</v>
      </c>
      <c r="J354" s="27">
        <v>128.94</v>
      </c>
      <c r="K354" s="29" t="str">
        <f t="shared" si="5"/>
        <v>01-2024</v>
      </c>
    </row>
    <row r="355" ht="15" customHeight="1" spans="1:11">
      <c r="A355" t="s">
        <v>897</v>
      </c>
      <c r="B355" s="41">
        <v>45603</v>
      </c>
      <c r="C355" t="s">
        <v>351</v>
      </c>
      <c r="D355" t="s">
        <v>492</v>
      </c>
      <c r="E355" t="s">
        <v>500</v>
      </c>
      <c r="F355" t="s">
        <v>550</v>
      </c>
      <c r="G355" t="s">
        <v>545</v>
      </c>
      <c r="H355" s="27">
        <v>12.5</v>
      </c>
      <c r="I355" s="27">
        <v>435.48</v>
      </c>
      <c r="J355" s="27">
        <v>522.58</v>
      </c>
      <c r="K355" s="29" t="str">
        <f t="shared" si="5"/>
        <v>11-2024</v>
      </c>
    </row>
    <row r="356" ht="15" customHeight="1" spans="1:11">
      <c r="A356" t="s">
        <v>898</v>
      </c>
      <c r="B356" s="41">
        <v>45323</v>
      </c>
      <c r="C356" t="s">
        <v>158</v>
      </c>
      <c r="D356" t="s">
        <v>492</v>
      </c>
      <c r="E356" t="s">
        <v>499</v>
      </c>
      <c r="F356" t="s">
        <v>537</v>
      </c>
      <c r="G356" t="s">
        <v>557</v>
      </c>
      <c r="H356" s="27">
        <v>12.5</v>
      </c>
      <c r="I356" s="27">
        <v>690.91</v>
      </c>
      <c r="J356" s="27">
        <v>829.09</v>
      </c>
      <c r="K356" s="29" t="str">
        <f t="shared" si="5"/>
        <v>02-2024</v>
      </c>
    </row>
    <row r="357" ht="15" customHeight="1" spans="1:11">
      <c r="A357" t="s">
        <v>899</v>
      </c>
      <c r="B357" s="41">
        <v>45685</v>
      </c>
      <c r="C357" t="s">
        <v>330</v>
      </c>
      <c r="D357" t="s">
        <v>491</v>
      </c>
      <c r="E357" t="s">
        <v>499</v>
      </c>
      <c r="F357" t="s">
        <v>537</v>
      </c>
      <c r="G357" t="s">
        <v>538</v>
      </c>
      <c r="H357" s="27">
        <v>4.9</v>
      </c>
      <c r="I357" s="27">
        <v>65.08</v>
      </c>
      <c r="J357" s="27">
        <v>78.1</v>
      </c>
      <c r="K357" s="29" t="str">
        <f t="shared" si="5"/>
        <v>01-2025</v>
      </c>
    </row>
    <row r="358" ht="15" customHeight="1" spans="1:11">
      <c r="A358" t="s">
        <v>900</v>
      </c>
      <c r="B358" s="41">
        <v>45790</v>
      </c>
      <c r="C358" t="s">
        <v>282</v>
      </c>
      <c r="D358" t="s">
        <v>492</v>
      </c>
      <c r="E358" t="s">
        <v>498</v>
      </c>
      <c r="F358" t="s">
        <v>537</v>
      </c>
      <c r="G358" t="s">
        <v>557</v>
      </c>
      <c r="H358" s="27">
        <v>12.5</v>
      </c>
      <c r="I358" s="27">
        <v>542.91</v>
      </c>
      <c r="J358" s="27">
        <v>651.49</v>
      </c>
      <c r="K358" s="29" t="str">
        <f t="shared" si="5"/>
        <v>05-2025</v>
      </c>
    </row>
    <row r="359" ht="15" customHeight="1" spans="1:11">
      <c r="A359" t="s">
        <v>901</v>
      </c>
      <c r="B359" s="41">
        <v>45726</v>
      </c>
      <c r="C359" t="s">
        <v>267</v>
      </c>
      <c r="D359" t="s">
        <v>482</v>
      </c>
      <c r="E359" t="s">
        <v>499</v>
      </c>
      <c r="F359" t="s">
        <v>537</v>
      </c>
      <c r="G359" t="s">
        <v>538</v>
      </c>
      <c r="H359" s="27">
        <v>7.9</v>
      </c>
      <c r="I359" s="27">
        <v>1261.01</v>
      </c>
      <c r="J359" s="27">
        <v>1513.21</v>
      </c>
      <c r="K359" s="29" t="str">
        <f t="shared" si="5"/>
        <v>03-2025</v>
      </c>
    </row>
    <row r="360" ht="15" customHeight="1" spans="1:11">
      <c r="A360" t="s">
        <v>902</v>
      </c>
      <c r="B360" s="41">
        <v>45669</v>
      </c>
      <c r="C360" t="s">
        <v>105</v>
      </c>
      <c r="D360" t="s">
        <v>495</v>
      </c>
      <c r="E360" t="s">
        <v>499</v>
      </c>
      <c r="F360" t="s">
        <v>542</v>
      </c>
      <c r="G360" t="s">
        <v>545</v>
      </c>
      <c r="H360" s="27">
        <v>4.9</v>
      </c>
      <c r="I360" s="27">
        <v>4212.52</v>
      </c>
      <c r="J360" s="27">
        <v>5055.02</v>
      </c>
      <c r="K360" s="29" t="str">
        <f t="shared" si="5"/>
        <v>01-2025</v>
      </c>
    </row>
    <row r="361" ht="15" customHeight="1" spans="1:11">
      <c r="A361" t="s">
        <v>903</v>
      </c>
      <c r="B361" s="41">
        <v>45937</v>
      </c>
      <c r="C361" t="s">
        <v>303</v>
      </c>
      <c r="D361" t="s">
        <v>484</v>
      </c>
      <c r="E361" t="s">
        <v>500</v>
      </c>
      <c r="F361" t="s">
        <v>537</v>
      </c>
      <c r="G361" t="s">
        <v>540</v>
      </c>
      <c r="H361" s="27">
        <v>0</v>
      </c>
      <c r="I361" s="27">
        <v>1439.53</v>
      </c>
      <c r="J361" s="27">
        <v>1727.44</v>
      </c>
      <c r="K361" s="29" t="str">
        <f t="shared" si="5"/>
        <v>10-2025</v>
      </c>
    </row>
    <row r="362" ht="15" customHeight="1" spans="1:11">
      <c r="A362" t="s">
        <v>904</v>
      </c>
      <c r="B362" s="41">
        <v>45593</v>
      </c>
      <c r="C362" t="s">
        <v>179</v>
      </c>
      <c r="D362" t="s">
        <v>486</v>
      </c>
      <c r="E362" t="s">
        <v>501</v>
      </c>
      <c r="F362" t="s">
        <v>537</v>
      </c>
      <c r="G362" t="s">
        <v>540</v>
      </c>
      <c r="H362" s="27">
        <v>7.9</v>
      </c>
      <c r="I362" s="27">
        <v>480.11</v>
      </c>
      <c r="J362" s="27">
        <v>576.13</v>
      </c>
      <c r="K362" s="29" t="str">
        <f t="shared" si="5"/>
        <v>10-2024</v>
      </c>
    </row>
    <row r="363" ht="15" customHeight="1" spans="1:11">
      <c r="A363" t="s">
        <v>905</v>
      </c>
      <c r="B363" s="41">
        <v>45344</v>
      </c>
      <c r="C363" t="s">
        <v>282</v>
      </c>
      <c r="D363" t="s">
        <v>489</v>
      </c>
      <c r="E363" t="s">
        <v>501</v>
      </c>
      <c r="F363" t="s">
        <v>537</v>
      </c>
      <c r="G363" t="s">
        <v>545</v>
      </c>
      <c r="H363" s="27">
        <v>4.9</v>
      </c>
      <c r="I363" s="27">
        <v>42.23</v>
      </c>
      <c r="J363" s="27">
        <v>50.68</v>
      </c>
      <c r="K363" s="29" t="str">
        <f t="shared" si="5"/>
        <v>02-2024</v>
      </c>
    </row>
    <row r="364" ht="15" customHeight="1" spans="1:11">
      <c r="A364" t="s">
        <v>906</v>
      </c>
      <c r="B364" s="41">
        <v>45306</v>
      </c>
      <c r="C364" t="s">
        <v>303</v>
      </c>
      <c r="D364" t="s">
        <v>484</v>
      </c>
      <c r="E364" t="s">
        <v>498</v>
      </c>
      <c r="F364" t="s">
        <v>547</v>
      </c>
      <c r="G364" t="s">
        <v>538</v>
      </c>
      <c r="H364" s="27">
        <v>12.5</v>
      </c>
      <c r="I364" s="27">
        <v>258.45</v>
      </c>
      <c r="J364" s="27">
        <v>310.14</v>
      </c>
      <c r="K364" s="29" t="str">
        <f t="shared" si="5"/>
        <v>01-2024</v>
      </c>
    </row>
    <row r="365" ht="15" customHeight="1" spans="1:11">
      <c r="A365" t="s">
        <v>907</v>
      </c>
      <c r="B365" s="41">
        <v>45325</v>
      </c>
      <c r="C365" t="s">
        <v>193</v>
      </c>
      <c r="D365" t="s">
        <v>484</v>
      </c>
      <c r="E365" t="s">
        <v>498</v>
      </c>
      <c r="F365" t="s">
        <v>537</v>
      </c>
      <c r="G365" t="s">
        <v>538</v>
      </c>
      <c r="H365" s="27">
        <v>12.5</v>
      </c>
      <c r="I365" s="27">
        <v>305.86</v>
      </c>
      <c r="J365" s="27">
        <v>367.03</v>
      </c>
      <c r="K365" s="29" t="str">
        <f t="shared" si="5"/>
        <v>02-2024</v>
      </c>
    </row>
    <row r="366" ht="15" customHeight="1" spans="1:11">
      <c r="A366" t="s">
        <v>908</v>
      </c>
      <c r="B366" s="41">
        <v>45645</v>
      </c>
      <c r="C366" t="s">
        <v>72</v>
      </c>
      <c r="D366" t="s">
        <v>489</v>
      </c>
      <c r="E366" t="s">
        <v>501</v>
      </c>
      <c r="F366" t="s">
        <v>537</v>
      </c>
      <c r="G366" t="s">
        <v>557</v>
      </c>
      <c r="H366" s="27">
        <v>12.5</v>
      </c>
      <c r="I366" s="27">
        <v>743.4</v>
      </c>
      <c r="J366" s="27">
        <v>892.08</v>
      </c>
      <c r="K366" s="29" t="str">
        <f t="shared" si="5"/>
        <v>12-2024</v>
      </c>
    </row>
    <row r="367" ht="15" customHeight="1" spans="1:11">
      <c r="A367" t="s">
        <v>909</v>
      </c>
      <c r="B367" s="41">
        <v>45691</v>
      </c>
      <c r="C367" t="s">
        <v>232</v>
      </c>
      <c r="D367" t="s">
        <v>489</v>
      </c>
      <c r="E367" t="s">
        <v>498</v>
      </c>
      <c r="F367" t="s">
        <v>537</v>
      </c>
      <c r="G367" t="s">
        <v>557</v>
      </c>
      <c r="H367" s="27">
        <v>0</v>
      </c>
      <c r="I367" s="27">
        <v>47.74</v>
      </c>
      <c r="J367" s="27">
        <v>57.29</v>
      </c>
      <c r="K367" s="29" t="str">
        <f t="shared" si="5"/>
        <v>02-2025</v>
      </c>
    </row>
    <row r="368" ht="15" customHeight="1" spans="1:11">
      <c r="A368" t="s">
        <v>910</v>
      </c>
      <c r="B368" s="41">
        <v>45834</v>
      </c>
      <c r="C368" t="s">
        <v>288</v>
      </c>
      <c r="D368" t="s">
        <v>482</v>
      </c>
      <c r="E368" t="s">
        <v>501</v>
      </c>
      <c r="F368" t="s">
        <v>547</v>
      </c>
      <c r="G368" t="s">
        <v>540</v>
      </c>
      <c r="H368" s="27">
        <v>12.5</v>
      </c>
      <c r="I368" s="27">
        <v>315.35</v>
      </c>
      <c r="J368" s="27">
        <v>378.42</v>
      </c>
      <c r="K368" s="29" t="str">
        <f t="shared" si="5"/>
        <v>06-2025</v>
      </c>
    </row>
    <row r="369" ht="15" customHeight="1" spans="1:11">
      <c r="A369" t="s">
        <v>911</v>
      </c>
      <c r="B369" s="41">
        <v>45553</v>
      </c>
      <c r="C369" t="s">
        <v>280</v>
      </c>
      <c r="D369" t="s">
        <v>495</v>
      </c>
      <c r="E369" t="s">
        <v>499</v>
      </c>
      <c r="F369" t="s">
        <v>537</v>
      </c>
      <c r="G369" t="s">
        <v>538</v>
      </c>
      <c r="H369" s="27">
        <v>4.9</v>
      </c>
      <c r="I369" s="27">
        <v>259.67</v>
      </c>
      <c r="J369" s="27">
        <v>311.6</v>
      </c>
      <c r="K369" s="29" t="str">
        <f t="shared" si="5"/>
        <v>09-2024</v>
      </c>
    </row>
    <row r="370" ht="15" customHeight="1" spans="1:11">
      <c r="A370" t="s">
        <v>912</v>
      </c>
      <c r="B370" s="41">
        <v>45300</v>
      </c>
      <c r="C370" t="s">
        <v>328</v>
      </c>
      <c r="D370" t="s">
        <v>484</v>
      </c>
      <c r="E370" t="s">
        <v>501</v>
      </c>
      <c r="F370" t="s">
        <v>537</v>
      </c>
      <c r="G370" t="s">
        <v>545</v>
      </c>
      <c r="H370" s="27">
        <v>12.5</v>
      </c>
      <c r="I370" s="27">
        <v>259.98</v>
      </c>
      <c r="J370" s="27">
        <v>311.98</v>
      </c>
      <c r="K370" s="29" t="str">
        <f t="shared" si="5"/>
        <v>01-2024</v>
      </c>
    </row>
    <row r="371" ht="15" customHeight="1" spans="1:11">
      <c r="A371" t="s">
        <v>913</v>
      </c>
      <c r="B371" s="41">
        <v>45350</v>
      </c>
      <c r="C371" t="s">
        <v>265</v>
      </c>
      <c r="D371" t="s">
        <v>488</v>
      </c>
      <c r="E371" t="s">
        <v>501</v>
      </c>
      <c r="F371" t="s">
        <v>537</v>
      </c>
      <c r="G371" t="s">
        <v>545</v>
      </c>
      <c r="H371" s="27">
        <v>0</v>
      </c>
      <c r="I371" s="27">
        <v>2022.28</v>
      </c>
      <c r="J371" s="27">
        <v>2426.74</v>
      </c>
      <c r="K371" s="29" t="str">
        <f t="shared" si="5"/>
        <v>02-2024</v>
      </c>
    </row>
    <row r="372" ht="15" customHeight="1" spans="1:11">
      <c r="A372" t="s">
        <v>914</v>
      </c>
      <c r="B372" s="41">
        <v>45946</v>
      </c>
      <c r="C372" t="s">
        <v>228</v>
      </c>
      <c r="D372" t="s">
        <v>489</v>
      </c>
      <c r="E372" t="s">
        <v>499</v>
      </c>
      <c r="F372" t="s">
        <v>537</v>
      </c>
      <c r="G372" t="s">
        <v>540</v>
      </c>
      <c r="H372" s="27">
        <v>7.9</v>
      </c>
      <c r="I372" s="27">
        <v>92.84</v>
      </c>
      <c r="J372" s="27">
        <v>111.41</v>
      </c>
      <c r="K372" s="29" t="str">
        <f t="shared" si="5"/>
        <v>10-2025</v>
      </c>
    </row>
    <row r="373" ht="15" customHeight="1" spans="1:11">
      <c r="A373" t="s">
        <v>915</v>
      </c>
      <c r="B373" s="41">
        <v>45683</v>
      </c>
      <c r="C373" t="s">
        <v>207</v>
      </c>
      <c r="D373" t="s">
        <v>491</v>
      </c>
      <c r="E373" t="s">
        <v>501</v>
      </c>
      <c r="F373" t="s">
        <v>537</v>
      </c>
      <c r="G373" t="s">
        <v>540</v>
      </c>
      <c r="H373" s="27">
        <v>4.9</v>
      </c>
      <c r="I373" s="27">
        <v>2692.14</v>
      </c>
      <c r="J373" s="27">
        <v>3230.57</v>
      </c>
      <c r="K373" s="29" t="str">
        <f t="shared" si="5"/>
        <v>01-2025</v>
      </c>
    </row>
    <row r="374" ht="15" customHeight="1" spans="1:11">
      <c r="A374" t="s">
        <v>916</v>
      </c>
      <c r="B374" s="41">
        <v>45795</v>
      </c>
      <c r="C374" t="s">
        <v>102</v>
      </c>
      <c r="D374" t="s">
        <v>486</v>
      </c>
      <c r="E374" t="s">
        <v>499</v>
      </c>
      <c r="F374" t="s">
        <v>537</v>
      </c>
      <c r="G374" t="s">
        <v>545</v>
      </c>
      <c r="H374" s="27">
        <v>12.5</v>
      </c>
      <c r="I374" s="27">
        <v>5482.68</v>
      </c>
      <c r="J374" s="27">
        <v>6579.22</v>
      </c>
      <c r="K374" s="29" t="str">
        <f t="shared" si="5"/>
        <v>05-2025</v>
      </c>
    </row>
    <row r="375" ht="15" customHeight="1" spans="1:11">
      <c r="A375" t="s">
        <v>917</v>
      </c>
      <c r="B375" s="41">
        <v>45960</v>
      </c>
      <c r="C375" t="s">
        <v>276</v>
      </c>
      <c r="D375" t="s">
        <v>482</v>
      </c>
      <c r="E375" t="s">
        <v>501</v>
      </c>
      <c r="F375" t="s">
        <v>537</v>
      </c>
      <c r="G375" t="s">
        <v>540</v>
      </c>
      <c r="H375" s="27">
        <v>4.9</v>
      </c>
      <c r="I375" s="27">
        <v>528.1</v>
      </c>
      <c r="J375" s="27">
        <v>633.72</v>
      </c>
      <c r="K375" s="29" t="str">
        <f t="shared" si="5"/>
        <v>10-2025</v>
      </c>
    </row>
    <row r="376" ht="15" customHeight="1" spans="1:11">
      <c r="A376" t="s">
        <v>918</v>
      </c>
      <c r="B376" s="41">
        <v>45363</v>
      </c>
      <c r="C376" t="s">
        <v>251</v>
      </c>
      <c r="D376" t="s">
        <v>488</v>
      </c>
      <c r="E376" t="s">
        <v>501</v>
      </c>
      <c r="F376" t="s">
        <v>537</v>
      </c>
      <c r="G376" t="s">
        <v>557</v>
      </c>
      <c r="H376" s="27">
        <v>0</v>
      </c>
      <c r="I376" s="27">
        <v>131.01</v>
      </c>
      <c r="J376" s="27">
        <v>157.21</v>
      </c>
      <c r="K376" s="29" t="str">
        <f t="shared" si="5"/>
        <v>03-2024</v>
      </c>
    </row>
    <row r="377" ht="15" customHeight="1" spans="1:11">
      <c r="A377" t="s">
        <v>919</v>
      </c>
      <c r="B377" s="41">
        <v>45384</v>
      </c>
      <c r="C377" t="s">
        <v>200</v>
      </c>
      <c r="D377" t="s">
        <v>494</v>
      </c>
      <c r="E377" t="s">
        <v>500</v>
      </c>
      <c r="F377" t="s">
        <v>537</v>
      </c>
      <c r="G377" t="s">
        <v>557</v>
      </c>
      <c r="H377" s="27">
        <v>7.9</v>
      </c>
      <c r="I377" s="27">
        <v>487.48</v>
      </c>
      <c r="J377" s="27">
        <v>584.98</v>
      </c>
      <c r="K377" s="29" t="str">
        <f t="shared" si="5"/>
        <v>04-2024</v>
      </c>
    </row>
    <row r="378" ht="15" customHeight="1" spans="1:11">
      <c r="A378" t="s">
        <v>920</v>
      </c>
      <c r="B378" s="41">
        <v>45691</v>
      </c>
      <c r="C378" t="s">
        <v>345</v>
      </c>
      <c r="D378" t="s">
        <v>484</v>
      </c>
      <c r="E378" t="s">
        <v>500</v>
      </c>
      <c r="F378" t="s">
        <v>537</v>
      </c>
      <c r="G378" t="s">
        <v>557</v>
      </c>
      <c r="H378" s="27">
        <v>4.9</v>
      </c>
      <c r="I378" s="27">
        <v>350.42</v>
      </c>
      <c r="J378" s="27">
        <v>420.5</v>
      </c>
      <c r="K378" s="29" t="str">
        <f t="shared" si="5"/>
        <v>02-2025</v>
      </c>
    </row>
    <row r="379" ht="15" customHeight="1" spans="1:11">
      <c r="A379" t="s">
        <v>921</v>
      </c>
      <c r="B379" s="41">
        <v>45536</v>
      </c>
      <c r="C379" t="s">
        <v>236</v>
      </c>
      <c r="D379" t="s">
        <v>492</v>
      </c>
      <c r="E379" t="s">
        <v>501</v>
      </c>
      <c r="F379" t="s">
        <v>537</v>
      </c>
      <c r="G379" t="s">
        <v>540</v>
      </c>
      <c r="H379" s="27">
        <v>12.5</v>
      </c>
      <c r="I379" s="27">
        <v>611.19</v>
      </c>
      <c r="J379" s="27">
        <v>733.43</v>
      </c>
      <c r="K379" s="29" t="str">
        <f t="shared" si="5"/>
        <v>09-2024</v>
      </c>
    </row>
    <row r="380" ht="15" customHeight="1" spans="1:11">
      <c r="A380" t="s">
        <v>922</v>
      </c>
      <c r="B380" s="41">
        <v>45335</v>
      </c>
      <c r="C380" t="s">
        <v>211</v>
      </c>
      <c r="D380" t="s">
        <v>484</v>
      </c>
      <c r="E380" t="s">
        <v>498</v>
      </c>
      <c r="F380" t="s">
        <v>537</v>
      </c>
      <c r="G380" t="s">
        <v>557</v>
      </c>
      <c r="H380" s="27">
        <v>4.9</v>
      </c>
      <c r="I380" s="27">
        <v>1915.25</v>
      </c>
      <c r="J380" s="27">
        <v>2298.3</v>
      </c>
      <c r="K380" s="29" t="str">
        <f t="shared" si="5"/>
        <v>02-2024</v>
      </c>
    </row>
    <row r="381" ht="15" customHeight="1" spans="1:11">
      <c r="A381" t="s">
        <v>923</v>
      </c>
      <c r="B381" s="41">
        <v>45338</v>
      </c>
      <c r="C381" t="s">
        <v>160</v>
      </c>
      <c r="D381" t="s">
        <v>486</v>
      </c>
      <c r="E381" t="s">
        <v>501</v>
      </c>
      <c r="F381" t="s">
        <v>537</v>
      </c>
      <c r="G381" t="s">
        <v>545</v>
      </c>
      <c r="H381" s="27">
        <v>7.9</v>
      </c>
      <c r="I381" s="27">
        <v>692.59</v>
      </c>
      <c r="J381" s="27">
        <v>831.11</v>
      </c>
      <c r="K381" s="29" t="str">
        <f t="shared" si="5"/>
        <v>02-2024</v>
      </c>
    </row>
    <row r="382" ht="15" customHeight="1" spans="1:11">
      <c r="A382" t="s">
        <v>924</v>
      </c>
      <c r="B382" s="41">
        <v>45517</v>
      </c>
      <c r="C382" t="s">
        <v>82</v>
      </c>
      <c r="D382" t="s">
        <v>488</v>
      </c>
      <c r="E382" t="s">
        <v>499</v>
      </c>
      <c r="F382" t="s">
        <v>537</v>
      </c>
      <c r="G382" t="s">
        <v>557</v>
      </c>
      <c r="H382" s="27">
        <v>7.9</v>
      </c>
      <c r="I382" s="27">
        <v>153.94</v>
      </c>
      <c r="J382" s="27">
        <v>184.73</v>
      </c>
      <c r="K382" s="29" t="str">
        <f t="shared" si="5"/>
        <v>08-2024</v>
      </c>
    </row>
    <row r="383" ht="15" customHeight="1" spans="1:11">
      <c r="A383" t="s">
        <v>925</v>
      </c>
      <c r="B383" s="41">
        <v>45621</v>
      </c>
      <c r="C383" t="s">
        <v>330</v>
      </c>
      <c r="D383" t="s">
        <v>488</v>
      </c>
      <c r="E383" t="s">
        <v>501</v>
      </c>
      <c r="F383" t="s">
        <v>537</v>
      </c>
      <c r="G383" t="s">
        <v>540</v>
      </c>
      <c r="H383" s="27">
        <v>0</v>
      </c>
      <c r="I383" s="27">
        <v>414.39</v>
      </c>
      <c r="J383" s="27">
        <v>497.27</v>
      </c>
      <c r="K383" s="29" t="str">
        <f t="shared" si="5"/>
        <v>11-2024</v>
      </c>
    </row>
    <row r="384" ht="15" customHeight="1" spans="1:11">
      <c r="A384" t="s">
        <v>926</v>
      </c>
      <c r="B384" s="41">
        <v>46005</v>
      </c>
      <c r="C384" t="s">
        <v>203</v>
      </c>
      <c r="D384" t="s">
        <v>494</v>
      </c>
      <c r="E384" t="s">
        <v>498</v>
      </c>
      <c r="F384" t="s">
        <v>537</v>
      </c>
      <c r="G384" t="s">
        <v>545</v>
      </c>
      <c r="H384" s="27">
        <v>4.9</v>
      </c>
      <c r="I384" s="27">
        <v>129.16</v>
      </c>
      <c r="J384" s="27">
        <v>154.99</v>
      </c>
      <c r="K384" s="29" t="str">
        <f t="shared" si="5"/>
        <v>12-2025</v>
      </c>
    </row>
    <row r="385" ht="15" customHeight="1" spans="1:11">
      <c r="A385" t="s">
        <v>927</v>
      </c>
      <c r="B385" s="41">
        <v>45308</v>
      </c>
      <c r="C385" t="s">
        <v>340</v>
      </c>
      <c r="D385" t="s">
        <v>493</v>
      </c>
      <c r="E385" t="s">
        <v>501</v>
      </c>
      <c r="F385" t="s">
        <v>537</v>
      </c>
      <c r="G385" t="s">
        <v>538</v>
      </c>
      <c r="H385" s="27">
        <v>0</v>
      </c>
      <c r="I385" s="27">
        <v>2215.52</v>
      </c>
      <c r="J385" s="27">
        <v>2658.62</v>
      </c>
      <c r="K385" s="29" t="str">
        <f t="shared" si="5"/>
        <v>01-2024</v>
      </c>
    </row>
    <row r="386" ht="15" customHeight="1" spans="1:11">
      <c r="A386" t="s">
        <v>928</v>
      </c>
      <c r="B386" s="41">
        <v>45947</v>
      </c>
      <c r="C386" t="s">
        <v>170</v>
      </c>
      <c r="D386" t="s">
        <v>494</v>
      </c>
      <c r="E386" t="s">
        <v>499</v>
      </c>
      <c r="F386" t="s">
        <v>537</v>
      </c>
      <c r="G386" t="s">
        <v>538</v>
      </c>
      <c r="H386" s="27">
        <v>0</v>
      </c>
      <c r="I386" s="27">
        <v>285.45</v>
      </c>
      <c r="J386" s="27">
        <v>342.54</v>
      </c>
      <c r="K386" s="29" t="str">
        <f t="shared" si="5"/>
        <v>10-2025</v>
      </c>
    </row>
    <row r="387" ht="15" customHeight="1" spans="1:11">
      <c r="A387" t="s">
        <v>929</v>
      </c>
      <c r="B387" s="41">
        <v>45648</v>
      </c>
      <c r="C387" t="s">
        <v>215</v>
      </c>
      <c r="D387" t="s">
        <v>482</v>
      </c>
      <c r="E387" t="s">
        <v>498</v>
      </c>
      <c r="F387" t="s">
        <v>537</v>
      </c>
      <c r="G387" t="s">
        <v>545</v>
      </c>
      <c r="H387" s="27">
        <v>7.9</v>
      </c>
      <c r="I387" s="27">
        <v>1214.37</v>
      </c>
      <c r="J387" s="27">
        <v>1457.24</v>
      </c>
      <c r="K387" s="29" t="str">
        <f t="shared" ref="K387:K421" si="6">TEXT(B387,"mm-yyyy")</f>
        <v>12-2024</v>
      </c>
    </row>
    <row r="388" ht="15" customHeight="1" spans="1:11">
      <c r="A388" t="s">
        <v>930</v>
      </c>
      <c r="B388" s="41">
        <v>45801</v>
      </c>
      <c r="C388" t="s">
        <v>133</v>
      </c>
      <c r="D388" t="s">
        <v>486</v>
      </c>
      <c r="E388" t="s">
        <v>501</v>
      </c>
      <c r="F388" t="s">
        <v>537</v>
      </c>
      <c r="G388" t="s">
        <v>540</v>
      </c>
      <c r="H388" s="27">
        <v>7.9</v>
      </c>
      <c r="I388" s="27">
        <v>25.82</v>
      </c>
      <c r="J388" s="27">
        <v>30.98</v>
      </c>
      <c r="K388" s="29" t="str">
        <f t="shared" si="6"/>
        <v>05-2025</v>
      </c>
    </row>
    <row r="389" ht="15" customHeight="1" spans="1:11">
      <c r="A389" t="s">
        <v>931</v>
      </c>
      <c r="B389" s="41">
        <v>45336</v>
      </c>
      <c r="C389" t="s">
        <v>102</v>
      </c>
      <c r="D389" t="s">
        <v>482</v>
      </c>
      <c r="E389" t="s">
        <v>498</v>
      </c>
      <c r="F389" t="s">
        <v>537</v>
      </c>
      <c r="G389" t="s">
        <v>545</v>
      </c>
      <c r="H389" s="27">
        <v>12.5</v>
      </c>
      <c r="I389" s="27">
        <v>396.78</v>
      </c>
      <c r="J389" s="27">
        <v>476.14</v>
      </c>
      <c r="K389" s="29" t="str">
        <f t="shared" si="6"/>
        <v>02-2024</v>
      </c>
    </row>
    <row r="390" ht="15" customHeight="1" spans="1:11">
      <c r="A390" t="s">
        <v>932</v>
      </c>
      <c r="B390" s="41">
        <v>45721</v>
      </c>
      <c r="C390" t="s">
        <v>142</v>
      </c>
      <c r="D390" t="s">
        <v>491</v>
      </c>
      <c r="E390" t="s">
        <v>498</v>
      </c>
      <c r="F390" t="s">
        <v>537</v>
      </c>
      <c r="G390" t="s">
        <v>540</v>
      </c>
      <c r="H390" s="27">
        <v>4.9</v>
      </c>
      <c r="I390" s="27">
        <v>40.73</v>
      </c>
      <c r="J390" s="27">
        <v>48.88</v>
      </c>
      <c r="K390" s="29" t="str">
        <f t="shared" si="6"/>
        <v>03-2025</v>
      </c>
    </row>
    <row r="391" ht="15" customHeight="1" spans="1:11">
      <c r="A391" t="s">
        <v>933</v>
      </c>
      <c r="B391" s="41">
        <v>45676</v>
      </c>
      <c r="C391" t="s">
        <v>345</v>
      </c>
      <c r="D391" t="s">
        <v>488</v>
      </c>
      <c r="E391" t="s">
        <v>501</v>
      </c>
      <c r="F391" t="s">
        <v>537</v>
      </c>
      <c r="G391" t="s">
        <v>557</v>
      </c>
      <c r="H391" s="27">
        <v>0</v>
      </c>
      <c r="I391" s="27">
        <v>485.33</v>
      </c>
      <c r="J391" s="27">
        <v>582.4</v>
      </c>
      <c r="K391" s="29" t="str">
        <f t="shared" si="6"/>
        <v>01-2025</v>
      </c>
    </row>
    <row r="392" ht="15" customHeight="1" spans="1:11">
      <c r="A392" t="s">
        <v>934</v>
      </c>
      <c r="B392" s="41">
        <v>45499</v>
      </c>
      <c r="C392" t="s">
        <v>190</v>
      </c>
      <c r="D392" t="s">
        <v>486</v>
      </c>
      <c r="E392" t="s">
        <v>501</v>
      </c>
      <c r="F392" t="s">
        <v>537</v>
      </c>
      <c r="G392" t="s">
        <v>545</v>
      </c>
      <c r="H392" s="27">
        <v>7.9</v>
      </c>
      <c r="I392" s="27">
        <v>124.18</v>
      </c>
      <c r="J392" s="27">
        <v>149.02</v>
      </c>
      <c r="K392" s="29" t="str">
        <f t="shared" si="6"/>
        <v>07-2024</v>
      </c>
    </row>
    <row r="393" ht="15" customHeight="1" spans="1:11">
      <c r="A393" t="s">
        <v>935</v>
      </c>
      <c r="B393" s="41">
        <v>45643</v>
      </c>
      <c r="C393" t="s">
        <v>152</v>
      </c>
      <c r="D393" t="s">
        <v>489</v>
      </c>
      <c r="E393" t="s">
        <v>498</v>
      </c>
      <c r="F393" t="s">
        <v>537</v>
      </c>
      <c r="G393" t="s">
        <v>538</v>
      </c>
      <c r="H393" s="27">
        <v>4.9</v>
      </c>
      <c r="I393" s="27">
        <v>754.08</v>
      </c>
      <c r="J393" s="27">
        <v>904.9</v>
      </c>
      <c r="K393" s="29" t="str">
        <f t="shared" si="6"/>
        <v>12-2024</v>
      </c>
    </row>
    <row r="394" ht="15" customHeight="1" spans="1:11">
      <c r="A394" t="s">
        <v>936</v>
      </c>
      <c r="B394" s="41">
        <v>45897</v>
      </c>
      <c r="C394" t="s">
        <v>232</v>
      </c>
      <c r="D394" t="s">
        <v>493</v>
      </c>
      <c r="E394" t="s">
        <v>500</v>
      </c>
      <c r="F394" t="s">
        <v>537</v>
      </c>
      <c r="G394" t="s">
        <v>557</v>
      </c>
      <c r="H394" s="27">
        <v>4.9</v>
      </c>
      <c r="I394" s="27">
        <v>63.85</v>
      </c>
      <c r="J394" s="27">
        <v>76.62</v>
      </c>
      <c r="K394" s="29" t="str">
        <f t="shared" si="6"/>
        <v>08-2025</v>
      </c>
    </row>
    <row r="395" ht="15" customHeight="1" spans="1:11">
      <c r="A395" t="s">
        <v>937</v>
      </c>
      <c r="B395" s="41">
        <v>45444</v>
      </c>
      <c r="C395" t="s">
        <v>349</v>
      </c>
      <c r="D395" t="s">
        <v>495</v>
      </c>
      <c r="E395" t="s">
        <v>501</v>
      </c>
      <c r="F395" t="s">
        <v>537</v>
      </c>
      <c r="G395" t="s">
        <v>545</v>
      </c>
      <c r="H395" s="27">
        <v>0</v>
      </c>
      <c r="I395" s="27">
        <v>581.2</v>
      </c>
      <c r="J395" s="27">
        <v>697.44</v>
      </c>
      <c r="K395" s="29" t="str">
        <f t="shared" si="6"/>
        <v>06-2024</v>
      </c>
    </row>
    <row r="396" ht="15" customHeight="1" spans="1:11">
      <c r="A396" t="s">
        <v>938</v>
      </c>
      <c r="B396" s="41">
        <v>45708</v>
      </c>
      <c r="C396" t="s">
        <v>147</v>
      </c>
      <c r="D396" t="s">
        <v>486</v>
      </c>
      <c r="E396" t="s">
        <v>500</v>
      </c>
      <c r="F396" t="s">
        <v>537</v>
      </c>
      <c r="G396" t="s">
        <v>545</v>
      </c>
      <c r="H396" s="27">
        <v>0</v>
      </c>
      <c r="I396" s="27">
        <v>1738.68</v>
      </c>
      <c r="J396" s="27">
        <v>2086.42</v>
      </c>
      <c r="K396" s="29" t="str">
        <f t="shared" si="6"/>
        <v>02-2025</v>
      </c>
    </row>
    <row r="397" ht="15" customHeight="1" spans="1:11">
      <c r="A397" t="s">
        <v>939</v>
      </c>
      <c r="B397" s="41">
        <v>45757</v>
      </c>
      <c r="C397" t="s">
        <v>230</v>
      </c>
      <c r="D397" t="s">
        <v>486</v>
      </c>
      <c r="E397" t="s">
        <v>499</v>
      </c>
      <c r="F397" t="s">
        <v>537</v>
      </c>
      <c r="G397" t="s">
        <v>540</v>
      </c>
      <c r="H397" s="27">
        <v>12.5</v>
      </c>
      <c r="I397" s="27">
        <v>4967</v>
      </c>
      <c r="J397" s="27">
        <v>5960.4</v>
      </c>
      <c r="K397" s="29" t="str">
        <f t="shared" si="6"/>
        <v>04-2025</v>
      </c>
    </row>
    <row r="398" ht="15" customHeight="1" spans="1:11">
      <c r="A398" t="s">
        <v>940</v>
      </c>
      <c r="B398" s="41">
        <v>45568</v>
      </c>
      <c r="C398" t="s">
        <v>292</v>
      </c>
      <c r="D398" t="s">
        <v>495</v>
      </c>
      <c r="E398" t="s">
        <v>498</v>
      </c>
      <c r="F398" t="s">
        <v>537</v>
      </c>
      <c r="G398" t="s">
        <v>545</v>
      </c>
      <c r="H398" s="27">
        <v>7.9</v>
      </c>
      <c r="I398" s="27">
        <v>792.09</v>
      </c>
      <c r="J398" s="27">
        <v>950.51</v>
      </c>
      <c r="K398" s="29" t="str">
        <f t="shared" si="6"/>
        <v>10-2024</v>
      </c>
    </row>
    <row r="399" ht="15" customHeight="1" spans="1:11">
      <c r="A399" t="s">
        <v>941</v>
      </c>
      <c r="B399" s="41">
        <v>45333</v>
      </c>
      <c r="C399" t="s">
        <v>200</v>
      </c>
      <c r="D399" t="s">
        <v>491</v>
      </c>
      <c r="E399" t="s">
        <v>498</v>
      </c>
      <c r="F399" t="s">
        <v>537</v>
      </c>
      <c r="G399" t="s">
        <v>545</v>
      </c>
      <c r="H399" s="27">
        <v>4.9</v>
      </c>
      <c r="I399" s="27">
        <v>64.69</v>
      </c>
      <c r="J399" s="27">
        <v>77.63</v>
      </c>
      <c r="K399" s="29" t="str">
        <f t="shared" si="6"/>
        <v>02-2024</v>
      </c>
    </row>
    <row r="400" ht="15" customHeight="1" spans="1:11">
      <c r="A400" t="s">
        <v>942</v>
      </c>
      <c r="B400" s="41">
        <v>45956</v>
      </c>
      <c r="C400" t="s">
        <v>234</v>
      </c>
      <c r="D400" t="s">
        <v>495</v>
      </c>
      <c r="E400" t="s">
        <v>498</v>
      </c>
      <c r="F400" t="s">
        <v>537</v>
      </c>
      <c r="G400" t="s">
        <v>538</v>
      </c>
      <c r="H400" s="27">
        <v>7.9</v>
      </c>
      <c r="I400" s="27">
        <v>64.88</v>
      </c>
      <c r="J400" s="27">
        <v>77.86</v>
      </c>
      <c r="K400" s="29" t="str">
        <f t="shared" si="6"/>
        <v>10-2025</v>
      </c>
    </row>
    <row r="401" ht="15" customHeight="1" spans="1:11">
      <c r="A401" t="s">
        <v>943</v>
      </c>
      <c r="B401" s="41">
        <v>45645</v>
      </c>
      <c r="C401" t="s">
        <v>226</v>
      </c>
      <c r="D401" t="s">
        <v>493</v>
      </c>
      <c r="E401" t="s">
        <v>501</v>
      </c>
      <c r="F401" t="s">
        <v>537</v>
      </c>
      <c r="G401" t="s">
        <v>540</v>
      </c>
      <c r="H401" s="27">
        <v>12.5</v>
      </c>
      <c r="I401" s="27">
        <v>1836.46</v>
      </c>
      <c r="J401" s="27">
        <v>2203.75</v>
      </c>
      <c r="K401" s="29" t="str">
        <f t="shared" si="6"/>
        <v>12-2024</v>
      </c>
    </row>
    <row r="402" ht="15" customHeight="1" spans="1:11">
      <c r="A402" t="s">
        <v>944</v>
      </c>
      <c r="B402" s="41">
        <v>45381</v>
      </c>
      <c r="C402" t="s">
        <v>90</v>
      </c>
      <c r="D402" t="s">
        <v>492</v>
      </c>
      <c r="E402" t="s">
        <v>498</v>
      </c>
      <c r="F402" t="s">
        <v>537</v>
      </c>
      <c r="G402" t="s">
        <v>545</v>
      </c>
      <c r="H402" s="27">
        <v>0</v>
      </c>
      <c r="I402" s="27">
        <v>72.03</v>
      </c>
      <c r="J402" s="27">
        <v>86.44</v>
      </c>
      <c r="K402" s="29" t="str">
        <f t="shared" si="6"/>
        <v>03-2024</v>
      </c>
    </row>
    <row r="403" ht="15" customHeight="1" spans="1:11">
      <c r="A403" t="s">
        <v>945</v>
      </c>
      <c r="B403" s="41">
        <v>45446</v>
      </c>
      <c r="C403" t="s">
        <v>338</v>
      </c>
      <c r="D403" t="s">
        <v>488</v>
      </c>
      <c r="E403" t="s">
        <v>501</v>
      </c>
      <c r="F403" t="s">
        <v>537</v>
      </c>
      <c r="G403" t="s">
        <v>538</v>
      </c>
      <c r="H403" s="27">
        <v>12.5</v>
      </c>
      <c r="I403" s="27">
        <v>262.65</v>
      </c>
      <c r="J403" s="27">
        <v>315.18</v>
      </c>
      <c r="K403" s="29" t="str">
        <f t="shared" si="6"/>
        <v>06-2024</v>
      </c>
    </row>
    <row r="404" ht="15" customHeight="1" spans="1:11">
      <c r="A404" t="s">
        <v>946</v>
      </c>
      <c r="B404" s="41">
        <v>45529</v>
      </c>
      <c r="C404" t="s">
        <v>328</v>
      </c>
      <c r="D404" t="s">
        <v>494</v>
      </c>
      <c r="E404" t="s">
        <v>500</v>
      </c>
      <c r="F404" t="s">
        <v>537</v>
      </c>
      <c r="G404" t="s">
        <v>540</v>
      </c>
      <c r="H404" s="27">
        <v>7.9</v>
      </c>
      <c r="I404" s="27">
        <v>201.52</v>
      </c>
      <c r="J404" s="27">
        <v>241.82</v>
      </c>
      <c r="K404" s="29" t="str">
        <f t="shared" si="6"/>
        <v>08-2024</v>
      </c>
    </row>
    <row r="405" ht="15" customHeight="1" spans="1:11">
      <c r="A405" t="s">
        <v>947</v>
      </c>
      <c r="B405" s="41">
        <v>45427</v>
      </c>
      <c r="C405" t="s">
        <v>345</v>
      </c>
      <c r="D405" t="s">
        <v>489</v>
      </c>
      <c r="E405" t="s">
        <v>498</v>
      </c>
      <c r="F405" t="s">
        <v>537</v>
      </c>
      <c r="G405" t="s">
        <v>538</v>
      </c>
      <c r="H405" s="27">
        <v>12.5</v>
      </c>
      <c r="I405" s="27">
        <v>464.51</v>
      </c>
      <c r="J405" s="27">
        <v>557.41</v>
      </c>
      <c r="K405" s="29" t="str">
        <f t="shared" si="6"/>
        <v>05-2024</v>
      </c>
    </row>
    <row r="406" ht="15" customHeight="1" spans="1:11">
      <c r="A406" t="s">
        <v>948</v>
      </c>
      <c r="B406" s="41">
        <v>45462</v>
      </c>
      <c r="C406" t="s">
        <v>272</v>
      </c>
      <c r="D406" t="s">
        <v>486</v>
      </c>
      <c r="E406" t="s">
        <v>500</v>
      </c>
      <c r="F406" t="s">
        <v>537</v>
      </c>
      <c r="G406" t="s">
        <v>538</v>
      </c>
      <c r="H406" s="27">
        <v>4.9</v>
      </c>
      <c r="I406" s="27">
        <v>42.81</v>
      </c>
      <c r="J406" s="27">
        <v>51.37</v>
      </c>
      <c r="K406" s="29" t="str">
        <f t="shared" si="6"/>
        <v>06-2024</v>
      </c>
    </row>
    <row r="407" ht="15" customHeight="1" spans="1:11">
      <c r="A407" t="s">
        <v>949</v>
      </c>
      <c r="B407" s="41">
        <v>45880</v>
      </c>
      <c r="C407" t="s">
        <v>111</v>
      </c>
      <c r="D407" t="s">
        <v>493</v>
      </c>
      <c r="E407" t="s">
        <v>500</v>
      </c>
      <c r="F407" t="s">
        <v>537</v>
      </c>
      <c r="G407" t="s">
        <v>538</v>
      </c>
      <c r="H407" s="27">
        <v>0</v>
      </c>
      <c r="I407" s="27">
        <v>3393.98</v>
      </c>
      <c r="J407" s="27">
        <v>4072.78</v>
      </c>
      <c r="K407" s="29" t="str">
        <f t="shared" si="6"/>
        <v>08-2025</v>
      </c>
    </row>
    <row r="408" ht="15" customHeight="1" spans="1:11">
      <c r="A408" t="s">
        <v>950</v>
      </c>
      <c r="B408" s="41">
        <v>45706</v>
      </c>
      <c r="C408" t="s">
        <v>355</v>
      </c>
      <c r="D408" t="s">
        <v>493</v>
      </c>
      <c r="E408" t="s">
        <v>498</v>
      </c>
      <c r="F408" t="s">
        <v>547</v>
      </c>
      <c r="G408" t="s">
        <v>540</v>
      </c>
      <c r="H408" s="27">
        <v>4.9</v>
      </c>
      <c r="I408" s="27">
        <v>69.39</v>
      </c>
      <c r="J408" s="27">
        <v>83.27</v>
      </c>
      <c r="K408" s="29" t="str">
        <f t="shared" si="6"/>
        <v>02-2025</v>
      </c>
    </row>
    <row r="409" ht="15" customHeight="1" spans="1:11">
      <c r="A409" t="s">
        <v>951</v>
      </c>
      <c r="B409" s="41">
        <v>45631</v>
      </c>
      <c r="C409" t="s">
        <v>278</v>
      </c>
      <c r="D409" t="s">
        <v>489</v>
      </c>
      <c r="E409" t="s">
        <v>499</v>
      </c>
      <c r="F409" t="s">
        <v>537</v>
      </c>
      <c r="G409" t="s">
        <v>538</v>
      </c>
      <c r="H409" s="27">
        <v>12.5</v>
      </c>
      <c r="I409" s="27">
        <v>366.97</v>
      </c>
      <c r="J409" s="27">
        <v>440.36</v>
      </c>
      <c r="K409" s="29" t="str">
        <f t="shared" si="6"/>
        <v>12-2024</v>
      </c>
    </row>
    <row r="410" ht="15" customHeight="1" spans="1:11">
      <c r="A410" t="s">
        <v>952</v>
      </c>
      <c r="B410" s="41">
        <v>45607</v>
      </c>
      <c r="C410" t="s">
        <v>54</v>
      </c>
      <c r="D410" t="s">
        <v>492</v>
      </c>
      <c r="E410" t="s">
        <v>498</v>
      </c>
      <c r="F410" t="s">
        <v>537</v>
      </c>
      <c r="G410" t="s">
        <v>545</v>
      </c>
      <c r="H410" s="27">
        <v>7.9</v>
      </c>
      <c r="I410" s="27">
        <v>71.62</v>
      </c>
      <c r="J410" s="27">
        <v>85.94</v>
      </c>
      <c r="K410" s="29" t="str">
        <f t="shared" si="6"/>
        <v>11-2024</v>
      </c>
    </row>
    <row r="411" ht="15" customHeight="1" spans="1:11">
      <c r="A411" t="s">
        <v>953</v>
      </c>
      <c r="B411" s="41">
        <v>45519</v>
      </c>
      <c r="C411" t="s">
        <v>315</v>
      </c>
      <c r="D411" t="s">
        <v>489</v>
      </c>
      <c r="E411" t="s">
        <v>498</v>
      </c>
      <c r="F411" t="s">
        <v>537</v>
      </c>
      <c r="G411" t="s">
        <v>557</v>
      </c>
      <c r="H411" s="27">
        <v>0</v>
      </c>
      <c r="I411" s="27">
        <v>1103.19</v>
      </c>
      <c r="J411" s="27">
        <v>1323.83</v>
      </c>
      <c r="K411" s="29" t="str">
        <f t="shared" si="6"/>
        <v>08-2024</v>
      </c>
    </row>
    <row r="412" ht="15" customHeight="1" spans="1:11">
      <c r="A412" t="s">
        <v>954</v>
      </c>
      <c r="B412" s="41">
        <v>45645</v>
      </c>
      <c r="C412" t="s">
        <v>195</v>
      </c>
      <c r="D412" t="s">
        <v>489</v>
      </c>
      <c r="E412" t="s">
        <v>499</v>
      </c>
      <c r="F412" t="s">
        <v>537</v>
      </c>
      <c r="G412" t="s">
        <v>545</v>
      </c>
      <c r="H412" s="27">
        <v>4.9</v>
      </c>
      <c r="I412" s="27">
        <v>274.88</v>
      </c>
      <c r="J412" s="27">
        <v>329.86</v>
      </c>
      <c r="K412" s="29" t="str">
        <f t="shared" si="6"/>
        <v>12-2024</v>
      </c>
    </row>
    <row r="413" ht="15" customHeight="1" spans="1:11">
      <c r="A413" t="s">
        <v>955</v>
      </c>
      <c r="B413" s="41">
        <v>45434</v>
      </c>
      <c r="C413" t="s">
        <v>328</v>
      </c>
      <c r="D413" t="s">
        <v>495</v>
      </c>
      <c r="E413" t="s">
        <v>501</v>
      </c>
      <c r="F413" t="s">
        <v>537</v>
      </c>
      <c r="G413" t="s">
        <v>540</v>
      </c>
      <c r="H413" s="27">
        <v>12.5</v>
      </c>
      <c r="I413" s="27">
        <v>6599.96</v>
      </c>
      <c r="J413" s="27">
        <v>7919.95</v>
      </c>
      <c r="K413" s="29" t="str">
        <f t="shared" si="6"/>
        <v>05-2024</v>
      </c>
    </row>
    <row r="414" ht="15" customHeight="1" spans="1:11">
      <c r="A414" t="s">
        <v>956</v>
      </c>
      <c r="B414" s="41">
        <v>45496</v>
      </c>
      <c r="C414" t="s">
        <v>136</v>
      </c>
      <c r="D414" t="s">
        <v>492</v>
      </c>
      <c r="E414" t="s">
        <v>500</v>
      </c>
      <c r="F414" t="s">
        <v>537</v>
      </c>
      <c r="G414" t="s">
        <v>545</v>
      </c>
      <c r="H414" s="27">
        <v>7.9</v>
      </c>
      <c r="I414" s="27">
        <v>377.42</v>
      </c>
      <c r="J414" s="27">
        <v>452.9</v>
      </c>
      <c r="K414" s="29" t="str">
        <f t="shared" si="6"/>
        <v>07-2024</v>
      </c>
    </row>
    <row r="415" ht="15" customHeight="1" spans="1:11">
      <c r="A415" t="s">
        <v>957</v>
      </c>
      <c r="B415" s="41">
        <v>45943</v>
      </c>
      <c r="C415" t="s">
        <v>232</v>
      </c>
      <c r="D415" t="s">
        <v>484</v>
      </c>
      <c r="E415" t="s">
        <v>500</v>
      </c>
      <c r="F415" t="s">
        <v>537</v>
      </c>
      <c r="G415" t="s">
        <v>557</v>
      </c>
      <c r="H415" s="27">
        <v>4.9</v>
      </c>
      <c r="I415" s="27">
        <v>45.63</v>
      </c>
      <c r="J415" s="27">
        <v>54.76</v>
      </c>
      <c r="K415" s="29" t="str">
        <f t="shared" si="6"/>
        <v>10-2025</v>
      </c>
    </row>
    <row r="416" ht="15" customHeight="1" spans="1:11">
      <c r="A416" t="s">
        <v>958</v>
      </c>
      <c r="B416" s="41">
        <v>45905</v>
      </c>
      <c r="C416" t="s">
        <v>305</v>
      </c>
      <c r="D416" t="s">
        <v>491</v>
      </c>
      <c r="E416" t="s">
        <v>499</v>
      </c>
      <c r="F416" t="s">
        <v>537</v>
      </c>
      <c r="G416" t="s">
        <v>540</v>
      </c>
      <c r="H416" s="27">
        <v>12.5</v>
      </c>
      <c r="I416" s="27">
        <v>1209.61</v>
      </c>
      <c r="J416" s="27">
        <v>1451.53</v>
      </c>
      <c r="K416" s="29" t="str">
        <f t="shared" si="6"/>
        <v>09-2025</v>
      </c>
    </row>
    <row r="417" ht="15" customHeight="1" spans="1:11">
      <c r="A417" t="s">
        <v>959</v>
      </c>
      <c r="B417" s="41">
        <v>45571</v>
      </c>
      <c r="C417" t="s">
        <v>200</v>
      </c>
      <c r="D417" t="s">
        <v>492</v>
      </c>
      <c r="E417" t="s">
        <v>500</v>
      </c>
      <c r="F417" t="s">
        <v>537</v>
      </c>
      <c r="G417" t="s">
        <v>540</v>
      </c>
      <c r="H417" s="27">
        <v>0</v>
      </c>
      <c r="I417" s="27">
        <v>1114.24</v>
      </c>
      <c r="J417" s="27">
        <v>1337.09</v>
      </c>
      <c r="K417" s="29" t="str">
        <f t="shared" si="6"/>
        <v>10-2024</v>
      </c>
    </row>
    <row r="418" ht="15" customHeight="1" spans="1:11">
      <c r="A418" t="s">
        <v>960</v>
      </c>
      <c r="B418" s="41">
        <v>45622</v>
      </c>
      <c r="C418" t="s">
        <v>338</v>
      </c>
      <c r="D418" t="s">
        <v>491</v>
      </c>
      <c r="E418" t="s">
        <v>500</v>
      </c>
      <c r="F418" t="s">
        <v>537</v>
      </c>
      <c r="G418" t="s">
        <v>540</v>
      </c>
      <c r="H418" s="27">
        <v>0</v>
      </c>
      <c r="I418" s="27">
        <v>541.76</v>
      </c>
      <c r="J418" s="27">
        <v>650.11</v>
      </c>
      <c r="K418" s="29" t="str">
        <f t="shared" si="6"/>
        <v>11-2024</v>
      </c>
    </row>
    <row r="419" ht="15" customHeight="1" spans="1:11">
      <c r="A419" t="s">
        <v>961</v>
      </c>
      <c r="B419" s="41">
        <v>45788</v>
      </c>
      <c r="C419" t="s">
        <v>213</v>
      </c>
      <c r="D419" t="s">
        <v>491</v>
      </c>
      <c r="E419" t="s">
        <v>498</v>
      </c>
      <c r="F419" t="s">
        <v>537</v>
      </c>
      <c r="G419" t="s">
        <v>538</v>
      </c>
      <c r="H419" s="27">
        <v>4.9</v>
      </c>
      <c r="I419" s="27">
        <v>2066.82</v>
      </c>
      <c r="J419" s="27">
        <v>2480.18</v>
      </c>
      <c r="K419" s="29" t="str">
        <f t="shared" si="6"/>
        <v>05-2025</v>
      </c>
    </row>
    <row r="420" ht="15" customHeight="1" spans="1:11">
      <c r="A420" t="s">
        <v>962</v>
      </c>
      <c r="B420" s="41">
        <v>45763</v>
      </c>
      <c r="C420" t="s">
        <v>351</v>
      </c>
      <c r="D420" t="s">
        <v>484</v>
      </c>
      <c r="E420" t="s">
        <v>501</v>
      </c>
      <c r="F420" t="s">
        <v>537</v>
      </c>
      <c r="G420" t="s">
        <v>545</v>
      </c>
      <c r="H420" s="27">
        <v>12.5</v>
      </c>
      <c r="I420" s="27">
        <v>817.59</v>
      </c>
      <c r="J420" s="27">
        <v>981.11</v>
      </c>
      <c r="K420" s="29" t="str">
        <f t="shared" si="6"/>
        <v>04-2025</v>
      </c>
    </row>
    <row r="421" ht="15" customHeight="1" spans="1:11">
      <c r="A421" t="s">
        <v>963</v>
      </c>
      <c r="B421" s="41">
        <v>45468</v>
      </c>
      <c r="C421" t="s">
        <v>294</v>
      </c>
      <c r="D421" t="s">
        <v>489</v>
      </c>
      <c r="E421" t="s">
        <v>501</v>
      </c>
      <c r="F421" t="s">
        <v>537</v>
      </c>
      <c r="G421" t="s">
        <v>545</v>
      </c>
      <c r="H421" s="27">
        <v>4.9</v>
      </c>
      <c r="I421" s="27">
        <v>49.06</v>
      </c>
      <c r="J421" s="27">
        <v>58.87</v>
      </c>
      <c r="K421" s="29" t="str">
        <f t="shared" si="6"/>
        <v>06-2024</v>
      </c>
    </row>
  </sheetData>
  <dataValidations count="2">
    <dataValidation type="list" sqref="E2:E421">
      <formula1>"Web,Magasin,Téléphone,Marketplace"</formula1>
    </dataValidation>
    <dataValidation type="list" sqref="F2:F421">
      <formula1>"Livrée,En cours,Annulée,Retournée"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6"/>
  <sheetViews>
    <sheetView topLeftCell="E944" workbookViewId="0">
      <selection activeCell="L15" sqref="L15"/>
    </sheetView>
  </sheetViews>
  <sheetFormatPr defaultColWidth="9" defaultRowHeight="14"/>
  <cols>
    <col min="1" max="1" width="14" customWidth="1"/>
    <col min="2" max="9" width="16" customWidth="1"/>
  </cols>
  <sheetData>
    <row r="1" ht="15" customHeight="1" spans="1:9">
      <c r="A1" s="25" t="s">
        <v>964</v>
      </c>
      <c r="B1" s="25" t="s">
        <v>529</v>
      </c>
      <c r="C1" s="25" t="s">
        <v>357</v>
      </c>
      <c r="D1" s="25" t="s">
        <v>965</v>
      </c>
      <c r="E1" s="25" t="s">
        <v>361</v>
      </c>
      <c r="F1" s="25" t="s">
        <v>966</v>
      </c>
      <c r="G1" s="25" t="s">
        <v>967</v>
      </c>
      <c r="H1" s="25" t="s">
        <v>968</v>
      </c>
      <c r="I1" s="25" t="s">
        <v>969</v>
      </c>
    </row>
    <row r="2" ht="15" customHeight="1" spans="1:9">
      <c r="A2" t="s">
        <v>970</v>
      </c>
      <c r="B2" t="s">
        <v>536</v>
      </c>
      <c r="C2" t="s">
        <v>459</v>
      </c>
      <c r="D2">
        <v>1</v>
      </c>
      <c r="E2" s="27">
        <v>70.8</v>
      </c>
      <c r="F2" s="28">
        <v>0.05</v>
      </c>
      <c r="G2" s="27">
        <v>67.26</v>
      </c>
      <c r="H2" s="27">
        <v>13.45</v>
      </c>
      <c r="I2" s="27">
        <v>80.71</v>
      </c>
    </row>
    <row r="3" ht="15" customHeight="1" spans="1:9">
      <c r="A3" t="s">
        <v>971</v>
      </c>
      <c r="B3" t="s">
        <v>536</v>
      </c>
      <c r="C3" t="s">
        <v>372</v>
      </c>
      <c r="D3">
        <v>2</v>
      </c>
      <c r="E3" s="27">
        <v>216.77</v>
      </c>
      <c r="F3" s="28">
        <v>0.15</v>
      </c>
      <c r="G3" s="27">
        <v>368.51</v>
      </c>
      <c r="H3" s="27">
        <v>73.7</v>
      </c>
      <c r="I3" s="27">
        <v>442.21</v>
      </c>
    </row>
    <row r="4" ht="15" customHeight="1" spans="1:9">
      <c r="A4" t="s">
        <v>972</v>
      </c>
      <c r="B4" t="s">
        <v>536</v>
      </c>
      <c r="C4" t="s">
        <v>389</v>
      </c>
      <c r="D4">
        <v>1</v>
      </c>
      <c r="E4" s="27">
        <v>120.37</v>
      </c>
      <c r="F4" s="28">
        <v>0</v>
      </c>
      <c r="G4" s="27">
        <v>120.37</v>
      </c>
      <c r="H4" s="27">
        <v>24.07</v>
      </c>
      <c r="I4" s="27">
        <v>144.44</v>
      </c>
    </row>
    <row r="5" ht="15" customHeight="1" spans="1:9">
      <c r="A5" t="s">
        <v>973</v>
      </c>
      <c r="B5" t="s">
        <v>536</v>
      </c>
      <c r="C5" t="s">
        <v>414</v>
      </c>
      <c r="D5">
        <v>3</v>
      </c>
      <c r="E5" s="27">
        <v>63.96</v>
      </c>
      <c r="F5" s="28">
        <v>0</v>
      </c>
      <c r="G5" s="27">
        <v>191.88</v>
      </c>
      <c r="H5" s="27">
        <v>38.38</v>
      </c>
      <c r="I5" s="27">
        <v>230.26</v>
      </c>
    </row>
    <row r="6" ht="15" customHeight="1" spans="1:9">
      <c r="A6" t="s">
        <v>974</v>
      </c>
      <c r="B6" t="s">
        <v>539</v>
      </c>
      <c r="C6" t="s">
        <v>435</v>
      </c>
      <c r="D6">
        <v>8</v>
      </c>
      <c r="E6" s="27">
        <v>262.34</v>
      </c>
      <c r="F6" s="28">
        <v>0</v>
      </c>
      <c r="G6" s="27">
        <v>2098.72</v>
      </c>
      <c r="H6" s="27">
        <v>419.74</v>
      </c>
      <c r="I6" s="27">
        <v>2518.46</v>
      </c>
    </row>
    <row r="7" ht="15" customHeight="1" spans="1:9">
      <c r="A7" t="s">
        <v>975</v>
      </c>
      <c r="B7" t="s">
        <v>541</v>
      </c>
      <c r="C7" t="s">
        <v>469</v>
      </c>
      <c r="D7">
        <v>2</v>
      </c>
      <c r="E7" s="27">
        <v>30.71</v>
      </c>
      <c r="F7" s="28">
        <v>0.05</v>
      </c>
      <c r="G7" s="27">
        <v>58.35</v>
      </c>
      <c r="H7" s="27">
        <v>11.67</v>
      </c>
      <c r="I7" s="27">
        <v>70.02</v>
      </c>
    </row>
    <row r="8" ht="15" customHeight="1" spans="1:9">
      <c r="A8" t="s">
        <v>976</v>
      </c>
      <c r="B8" t="s">
        <v>541</v>
      </c>
      <c r="C8" t="s">
        <v>446</v>
      </c>
      <c r="D8">
        <v>1</v>
      </c>
      <c r="E8" s="27">
        <v>454.43</v>
      </c>
      <c r="F8" s="28">
        <v>0.05</v>
      </c>
      <c r="G8" s="27">
        <v>431.71</v>
      </c>
      <c r="H8" s="27">
        <v>86.34</v>
      </c>
      <c r="I8" s="27">
        <v>518.05</v>
      </c>
    </row>
    <row r="9" ht="15" customHeight="1" spans="1:9">
      <c r="A9" t="s">
        <v>977</v>
      </c>
      <c r="B9" t="s">
        <v>541</v>
      </c>
      <c r="C9" t="s">
        <v>366</v>
      </c>
      <c r="D9">
        <v>1</v>
      </c>
      <c r="E9" s="27">
        <v>1103.64</v>
      </c>
      <c r="F9" s="28">
        <v>0</v>
      </c>
      <c r="G9" s="27">
        <v>1103.64</v>
      </c>
      <c r="H9" s="27">
        <v>220.73</v>
      </c>
      <c r="I9" s="27">
        <v>1324.37</v>
      </c>
    </row>
    <row r="10" ht="15" customHeight="1" spans="1:9">
      <c r="A10" t="s">
        <v>978</v>
      </c>
      <c r="B10" t="s">
        <v>541</v>
      </c>
      <c r="C10" t="s">
        <v>433</v>
      </c>
      <c r="D10">
        <v>1</v>
      </c>
      <c r="E10" s="27">
        <v>58.14</v>
      </c>
      <c r="F10" s="28">
        <v>0.15</v>
      </c>
      <c r="G10" s="27">
        <v>49.42</v>
      </c>
      <c r="H10" s="27">
        <v>9.88</v>
      </c>
      <c r="I10" s="27">
        <v>59.3</v>
      </c>
    </row>
    <row r="11" ht="15" customHeight="1" spans="1:9">
      <c r="A11" t="s">
        <v>979</v>
      </c>
      <c r="B11" t="s">
        <v>543</v>
      </c>
      <c r="C11" t="s">
        <v>435</v>
      </c>
      <c r="D11">
        <v>1</v>
      </c>
      <c r="E11" s="27">
        <v>262.34</v>
      </c>
      <c r="F11" s="28">
        <v>0.1</v>
      </c>
      <c r="G11" s="27">
        <v>236.11</v>
      </c>
      <c r="H11" s="27">
        <v>47.22</v>
      </c>
      <c r="I11" s="27">
        <v>283.33</v>
      </c>
    </row>
    <row r="12" ht="15" customHeight="1" spans="1:9">
      <c r="A12" t="s">
        <v>980</v>
      </c>
      <c r="B12" t="s">
        <v>543</v>
      </c>
      <c r="C12" t="s">
        <v>414</v>
      </c>
      <c r="D12">
        <v>4</v>
      </c>
      <c r="E12" s="27">
        <v>63.96</v>
      </c>
      <c r="F12" s="28">
        <v>0</v>
      </c>
      <c r="G12" s="27">
        <v>255.84</v>
      </c>
      <c r="H12" s="27">
        <v>51.17</v>
      </c>
      <c r="I12" s="27">
        <v>307.01</v>
      </c>
    </row>
    <row r="13" ht="15" customHeight="1" spans="1:9">
      <c r="A13" t="s">
        <v>981</v>
      </c>
      <c r="B13" t="s">
        <v>543</v>
      </c>
      <c r="C13" t="s">
        <v>459</v>
      </c>
      <c r="D13">
        <v>1</v>
      </c>
      <c r="E13" s="27">
        <v>70.8</v>
      </c>
      <c r="F13" s="28">
        <v>0.05</v>
      </c>
      <c r="G13" s="27">
        <v>67.26</v>
      </c>
      <c r="H13" s="27">
        <v>13.45</v>
      </c>
      <c r="I13" s="27">
        <v>80.71</v>
      </c>
    </row>
    <row r="14" ht="15" customHeight="1" spans="1:9">
      <c r="A14" t="s">
        <v>982</v>
      </c>
      <c r="B14" t="s">
        <v>544</v>
      </c>
      <c r="C14" t="s">
        <v>387</v>
      </c>
      <c r="D14">
        <v>1</v>
      </c>
      <c r="E14" s="27">
        <v>37.91</v>
      </c>
      <c r="F14" s="28">
        <v>0.1</v>
      </c>
      <c r="G14" s="27">
        <v>34.12</v>
      </c>
      <c r="H14" s="27">
        <v>6.82</v>
      </c>
      <c r="I14" s="27">
        <v>40.94</v>
      </c>
    </row>
    <row r="15" ht="15" customHeight="1" spans="1:9">
      <c r="A15" t="s">
        <v>983</v>
      </c>
      <c r="B15" t="s">
        <v>544</v>
      </c>
      <c r="C15" t="s">
        <v>389</v>
      </c>
      <c r="D15">
        <v>1</v>
      </c>
      <c r="E15" s="27">
        <v>120.37</v>
      </c>
      <c r="F15" s="28">
        <v>0</v>
      </c>
      <c r="G15" s="27">
        <v>120.37</v>
      </c>
      <c r="H15" s="27">
        <v>24.07</v>
      </c>
      <c r="I15" s="27">
        <v>144.44</v>
      </c>
    </row>
    <row r="16" ht="15" customHeight="1" spans="1:9">
      <c r="A16" t="s">
        <v>984</v>
      </c>
      <c r="B16" t="s">
        <v>544</v>
      </c>
      <c r="C16" t="s">
        <v>461</v>
      </c>
      <c r="D16">
        <v>5</v>
      </c>
      <c r="E16" s="27">
        <v>59.83</v>
      </c>
      <c r="F16" s="28">
        <v>0.15</v>
      </c>
      <c r="G16" s="27">
        <v>254.28</v>
      </c>
      <c r="H16" s="27">
        <v>50.86</v>
      </c>
      <c r="I16" s="27">
        <v>305.14</v>
      </c>
    </row>
    <row r="17" ht="15" customHeight="1" spans="1:9">
      <c r="A17" t="s">
        <v>985</v>
      </c>
      <c r="B17" t="s">
        <v>544</v>
      </c>
      <c r="C17" t="s">
        <v>444</v>
      </c>
      <c r="D17">
        <v>1</v>
      </c>
      <c r="E17" s="27">
        <v>442.3</v>
      </c>
      <c r="F17" s="28">
        <v>0.15</v>
      </c>
      <c r="G17" s="27">
        <v>375.95</v>
      </c>
      <c r="H17" s="27">
        <v>75.19</v>
      </c>
      <c r="I17" s="27">
        <v>451.14</v>
      </c>
    </row>
    <row r="18" ht="15" customHeight="1" spans="1:9">
      <c r="A18" t="s">
        <v>986</v>
      </c>
      <c r="B18" t="s">
        <v>544</v>
      </c>
      <c r="C18" t="s">
        <v>469</v>
      </c>
      <c r="D18">
        <v>1</v>
      </c>
      <c r="E18" s="27">
        <v>30.71</v>
      </c>
      <c r="F18" s="28">
        <v>0.05</v>
      </c>
      <c r="G18" s="27">
        <v>29.17</v>
      </c>
      <c r="H18" s="27">
        <v>5.83</v>
      </c>
      <c r="I18" s="27">
        <v>35</v>
      </c>
    </row>
    <row r="19" ht="15" customHeight="1" spans="1:9">
      <c r="A19" t="s">
        <v>987</v>
      </c>
      <c r="B19" t="s">
        <v>546</v>
      </c>
      <c r="C19" t="s">
        <v>400</v>
      </c>
      <c r="D19">
        <v>1</v>
      </c>
      <c r="E19" s="27">
        <v>328.03</v>
      </c>
      <c r="F19" s="28">
        <v>0</v>
      </c>
      <c r="G19" s="27">
        <v>328.03</v>
      </c>
      <c r="H19" s="27">
        <v>65.61</v>
      </c>
      <c r="I19" s="27">
        <v>393.64</v>
      </c>
    </row>
    <row r="20" ht="15" customHeight="1" spans="1:9">
      <c r="A20" t="s">
        <v>988</v>
      </c>
      <c r="B20" t="s">
        <v>546</v>
      </c>
      <c r="C20" t="s">
        <v>421</v>
      </c>
      <c r="D20">
        <v>1</v>
      </c>
      <c r="E20" s="27">
        <v>78.78</v>
      </c>
      <c r="F20" s="28">
        <v>0.15</v>
      </c>
      <c r="G20" s="27">
        <v>66.96</v>
      </c>
      <c r="H20" s="27">
        <v>13.39</v>
      </c>
      <c r="I20" s="27">
        <v>80.35</v>
      </c>
    </row>
    <row r="21" ht="15" customHeight="1" spans="1:9">
      <c r="A21" t="s">
        <v>989</v>
      </c>
      <c r="B21" t="s">
        <v>546</v>
      </c>
      <c r="C21" t="s">
        <v>421</v>
      </c>
      <c r="D21">
        <v>2</v>
      </c>
      <c r="E21" s="27">
        <v>78.78</v>
      </c>
      <c r="F21" s="28">
        <v>0.15</v>
      </c>
      <c r="G21" s="27">
        <v>133.93</v>
      </c>
      <c r="H21" s="27">
        <v>26.79</v>
      </c>
      <c r="I21" s="27">
        <v>160.72</v>
      </c>
    </row>
    <row r="22" ht="15" customHeight="1" spans="1:9">
      <c r="A22" t="s">
        <v>990</v>
      </c>
      <c r="B22" t="s">
        <v>548</v>
      </c>
      <c r="C22" t="s">
        <v>400</v>
      </c>
      <c r="D22">
        <v>2</v>
      </c>
      <c r="E22" s="27">
        <v>328.03</v>
      </c>
      <c r="F22" s="28">
        <v>0.1</v>
      </c>
      <c r="G22" s="27">
        <v>590.45</v>
      </c>
      <c r="H22" s="27">
        <v>118.09</v>
      </c>
      <c r="I22" s="27">
        <v>708.54</v>
      </c>
    </row>
    <row r="23" ht="15" customHeight="1" spans="1:9">
      <c r="A23" t="s">
        <v>991</v>
      </c>
      <c r="B23" t="s">
        <v>549</v>
      </c>
      <c r="C23" t="s">
        <v>446</v>
      </c>
      <c r="D23">
        <v>1</v>
      </c>
      <c r="E23" s="27">
        <v>454.43</v>
      </c>
      <c r="F23" s="28">
        <v>0</v>
      </c>
      <c r="G23" s="27">
        <v>454.43</v>
      </c>
      <c r="H23" s="27">
        <v>90.89</v>
      </c>
      <c r="I23" s="27">
        <v>545.32</v>
      </c>
    </row>
    <row r="24" ht="15" customHeight="1" spans="1:9">
      <c r="A24" t="s">
        <v>992</v>
      </c>
      <c r="B24" t="s">
        <v>549</v>
      </c>
      <c r="C24" t="s">
        <v>402</v>
      </c>
      <c r="D24">
        <v>1</v>
      </c>
      <c r="E24" s="27">
        <v>26.57</v>
      </c>
      <c r="F24" s="28">
        <v>0</v>
      </c>
      <c r="G24" s="27">
        <v>26.57</v>
      </c>
      <c r="H24" s="27">
        <v>5.31</v>
      </c>
      <c r="I24" s="27">
        <v>31.88</v>
      </c>
    </row>
    <row r="25" ht="15" customHeight="1" spans="1:9">
      <c r="A25" t="s">
        <v>993</v>
      </c>
      <c r="B25" t="s">
        <v>549</v>
      </c>
      <c r="C25" t="s">
        <v>452</v>
      </c>
      <c r="D25">
        <v>1</v>
      </c>
      <c r="E25" s="27">
        <v>381.57</v>
      </c>
      <c r="F25" s="28">
        <v>0</v>
      </c>
      <c r="G25" s="27">
        <v>381.57</v>
      </c>
      <c r="H25" s="27">
        <v>76.31</v>
      </c>
      <c r="I25" s="27">
        <v>457.88</v>
      </c>
    </row>
    <row r="26" ht="15" customHeight="1" spans="1:9">
      <c r="A26" t="s">
        <v>994</v>
      </c>
      <c r="B26" t="s">
        <v>551</v>
      </c>
      <c r="C26" t="s">
        <v>404</v>
      </c>
      <c r="D26">
        <v>2</v>
      </c>
      <c r="E26" s="27">
        <v>30.09</v>
      </c>
      <c r="F26" s="28">
        <v>0</v>
      </c>
      <c r="G26" s="27">
        <v>60.18</v>
      </c>
      <c r="H26" s="27">
        <v>12.04</v>
      </c>
      <c r="I26" s="27">
        <v>72.22</v>
      </c>
    </row>
    <row r="27" ht="15" customHeight="1" spans="1:9">
      <c r="A27" t="s">
        <v>995</v>
      </c>
      <c r="B27" t="s">
        <v>552</v>
      </c>
      <c r="C27" t="s">
        <v>475</v>
      </c>
      <c r="D27">
        <v>1</v>
      </c>
      <c r="E27" s="27">
        <v>42</v>
      </c>
      <c r="F27" s="28">
        <v>0.1</v>
      </c>
      <c r="G27" s="27">
        <v>37.8</v>
      </c>
      <c r="H27" s="27">
        <v>7.56</v>
      </c>
      <c r="I27" s="27">
        <v>45.36</v>
      </c>
    </row>
    <row r="28" ht="15" customHeight="1" spans="1:9">
      <c r="A28" t="s">
        <v>996</v>
      </c>
      <c r="B28" t="s">
        <v>552</v>
      </c>
      <c r="C28" t="s">
        <v>383</v>
      </c>
      <c r="D28">
        <v>2</v>
      </c>
      <c r="E28" s="27">
        <v>39.08</v>
      </c>
      <c r="F28" s="28">
        <v>0</v>
      </c>
      <c r="G28" s="27">
        <v>78.16</v>
      </c>
      <c r="H28" s="27">
        <v>15.63</v>
      </c>
      <c r="I28" s="27">
        <v>93.79</v>
      </c>
    </row>
    <row r="29" ht="15" customHeight="1" spans="1:9">
      <c r="A29" t="s">
        <v>997</v>
      </c>
      <c r="B29" t="s">
        <v>553</v>
      </c>
      <c r="C29" t="s">
        <v>425</v>
      </c>
      <c r="D29">
        <v>1</v>
      </c>
      <c r="E29" s="27">
        <v>36.08</v>
      </c>
      <c r="F29" s="28">
        <v>0</v>
      </c>
      <c r="G29" s="27">
        <v>36.08</v>
      </c>
      <c r="H29" s="27">
        <v>7.22</v>
      </c>
      <c r="I29" s="27">
        <v>43.3</v>
      </c>
    </row>
    <row r="30" ht="15" customHeight="1" spans="1:9">
      <c r="A30" t="s">
        <v>998</v>
      </c>
      <c r="B30" t="s">
        <v>553</v>
      </c>
      <c r="C30" t="s">
        <v>438</v>
      </c>
      <c r="D30">
        <v>3</v>
      </c>
      <c r="E30" s="27">
        <v>295.97</v>
      </c>
      <c r="F30" s="28">
        <v>0.05</v>
      </c>
      <c r="G30" s="27">
        <v>843.51</v>
      </c>
      <c r="H30" s="27">
        <v>168.7</v>
      </c>
      <c r="I30" s="27">
        <v>1012.21</v>
      </c>
    </row>
    <row r="31" ht="15" customHeight="1" spans="1:9">
      <c r="A31" t="s">
        <v>999</v>
      </c>
      <c r="B31" t="s">
        <v>553</v>
      </c>
      <c r="C31" t="s">
        <v>377</v>
      </c>
      <c r="D31">
        <v>4</v>
      </c>
      <c r="E31" s="27">
        <v>84.94</v>
      </c>
      <c r="F31" s="28">
        <v>0</v>
      </c>
      <c r="G31" s="27">
        <v>339.76</v>
      </c>
      <c r="H31" s="27">
        <v>67.95</v>
      </c>
      <c r="I31" s="27">
        <v>407.71</v>
      </c>
    </row>
    <row r="32" ht="15" customHeight="1" spans="1:9">
      <c r="A32" t="s">
        <v>1000</v>
      </c>
      <c r="B32" t="s">
        <v>553</v>
      </c>
      <c r="C32" t="s">
        <v>452</v>
      </c>
      <c r="D32">
        <v>1</v>
      </c>
      <c r="E32" s="27">
        <v>381.57</v>
      </c>
      <c r="F32" s="28">
        <v>0</v>
      </c>
      <c r="G32" s="27">
        <v>381.57</v>
      </c>
      <c r="H32" s="27">
        <v>76.31</v>
      </c>
      <c r="I32" s="27">
        <v>457.88</v>
      </c>
    </row>
    <row r="33" ht="15" customHeight="1" spans="1:9">
      <c r="A33" t="s">
        <v>1001</v>
      </c>
      <c r="B33" t="s">
        <v>553</v>
      </c>
      <c r="C33" t="s">
        <v>408</v>
      </c>
      <c r="D33">
        <v>2</v>
      </c>
      <c r="E33" s="27">
        <v>19.65</v>
      </c>
      <c r="F33" s="28">
        <v>0.1</v>
      </c>
      <c r="G33" s="27">
        <v>35.37</v>
      </c>
      <c r="H33" s="27">
        <v>7.07</v>
      </c>
      <c r="I33" s="27">
        <v>42.44</v>
      </c>
    </row>
    <row r="34" ht="15" customHeight="1" spans="1:9">
      <c r="A34" t="s">
        <v>1002</v>
      </c>
      <c r="B34" t="s">
        <v>554</v>
      </c>
      <c r="C34" t="s">
        <v>429</v>
      </c>
      <c r="D34">
        <v>1</v>
      </c>
      <c r="E34" s="27">
        <v>32.75</v>
      </c>
      <c r="F34" s="28">
        <v>0.15</v>
      </c>
      <c r="G34" s="27">
        <v>27.84</v>
      </c>
      <c r="H34" s="27">
        <v>5.57</v>
      </c>
      <c r="I34" s="27">
        <v>33.41</v>
      </c>
    </row>
    <row r="35" ht="15" customHeight="1" spans="1:9">
      <c r="A35" t="s">
        <v>1003</v>
      </c>
      <c r="B35" t="s">
        <v>554</v>
      </c>
      <c r="C35" t="s">
        <v>387</v>
      </c>
      <c r="D35">
        <v>4</v>
      </c>
      <c r="E35" s="27">
        <v>37.91</v>
      </c>
      <c r="F35" s="28">
        <v>0.15</v>
      </c>
      <c r="G35" s="27">
        <v>128.89</v>
      </c>
      <c r="H35" s="27">
        <v>25.78</v>
      </c>
      <c r="I35" s="27">
        <v>154.67</v>
      </c>
    </row>
    <row r="36" ht="15" customHeight="1" spans="1:9">
      <c r="A36" t="s">
        <v>1004</v>
      </c>
      <c r="B36" t="s">
        <v>555</v>
      </c>
      <c r="C36" t="s">
        <v>433</v>
      </c>
      <c r="D36">
        <v>1</v>
      </c>
      <c r="E36" s="27">
        <v>58.14</v>
      </c>
      <c r="F36" s="28">
        <v>0.15</v>
      </c>
      <c r="G36" s="27">
        <v>49.42</v>
      </c>
      <c r="H36" s="27">
        <v>9.88</v>
      </c>
      <c r="I36" s="27">
        <v>59.3</v>
      </c>
    </row>
    <row r="37" ht="15" customHeight="1" spans="1:9">
      <c r="A37" t="s">
        <v>1005</v>
      </c>
      <c r="B37" t="s">
        <v>555</v>
      </c>
      <c r="C37" t="s">
        <v>383</v>
      </c>
      <c r="D37">
        <v>1</v>
      </c>
      <c r="E37" s="27">
        <v>39.08</v>
      </c>
      <c r="F37" s="28">
        <v>0</v>
      </c>
      <c r="G37" s="27">
        <v>39.08</v>
      </c>
      <c r="H37" s="27">
        <v>7.82</v>
      </c>
      <c r="I37" s="27">
        <v>46.9</v>
      </c>
    </row>
    <row r="38" ht="15" customHeight="1" spans="1:9">
      <c r="A38" t="s">
        <v>1006</v>
      </c>
      <c r="B38" t="s">
        <v>556</v>
      </c>
      <c r="C38" t="s">
        <v>380</v>
      </c>
      <c r="D38">
        <v>1</v>
      </c>
      <c r="E38" s="27">
        <v>80.3</v>
      </c>
      <c r="F38" s="28">
        <v>0</v>
      </c>
      <c r="G38" s="27">
        <v>80.3</v>
      </c>
      <c r="H38" s="27">
        <v>16.06</v>
      </c>
      <c r="I38" s="27">
        <v>96.36</v>
      </c>
    </row>
    <row r="39" ht="15" customHeight="1" spans="1:9">
      <c r="A39" t="s">
        <v>1007</v>
      </c>
      <c r="B39" t="s">
        <v>558</v>
      </c>
      <c r="C39" t="s">
        <v>461</v>
      </c>
      <c r="D39">
        <v>5</v>
      </c>
      <c r="E39" s="27">
        <v>59.83</v>
      </c>
      <c r="F39" s="28">
        <v>0.05</v>
      </c>
      <c r="G39" s="27">
        <v>284.19</v>
      </c>
      <c r="H39" s="27">
        <v>56.84</v>
      </c>
      <c r="I39" s="27">
        <v>341.03</v>
      </c>
    </row>
    <row r="40" ht="15" customHeight="1" spans="1:9">
      <c r="A40" t="s">
        <v>1008</v>
      </c>
      <c r="B40" t="s">
        <v>558</v>
      </c>
      <c r="C40" t="s">
        <v>469</v>
      </c>
      <c r="D40">
        <v>1</v>
      </c>
      <c r="E40" s="27">
        <v>30.71</v>
      </c>
      <c r="F40" s="28">
        <v>0</v>
      </c>
      <c r="G40" s="27">
        <v>30.71</v>
      </c>
      <c r="H40" s="27">
        <v>6.14</v>
      </c>
      <c r="I40" s="27">
        <v>36.85</v>
      </c>
    </row>
    <row r="41" ht="15" customHeight="1" spans="1:9">
      <c r="A41" t="s">
        <v>1009</v>
      </c>
      <c r="B41" t="s">
        <v>559</v>
      </c>
      <c r="C41" t="s">
        <v>402</v>
      </c>
      <c r="D41">
        <v>3</v>
      </c>
      <c r="E41" s="27">
        <v>26.57</v>
      </c>
      <c r="F41" s="28">
        <v>0</v>
      </c>
      <c r="G41" s="27">
        <v>79.71</v>
      </c>
      <c r="H41" s="27">
        <v>15.94</v>
      </c>
      <c r="I41" s="27">
        <v>95.65</v>
      </c>
    </row>
    <row r="42" ht="15" customHeight="1" spans="1:9">
      <c r="A42" t="s">
        <v>1010</v>
      </c>
      <c r="B42" t="s">
        <v>559</v>
      </c>
      <c r="C42" t="s">
        <v>446</v>
      </c>
      <c r="D42">
        <v>1</v>
      </c>
      <c r="E42" s="27">
        <v>454.43</v>
      </c>
      <c r="F42" s="28">
        <v>0</v>
      </c>
      <c r="G42" s="27">
        <v>454.43</v>
      </c>
      <c r="H42" s="27">
        <v>90.89</v>
      </c>
      <c r="I42" s="27">
        <v>545.32</v>
      </c>
    </row>
    <row r="43" ht="15" customHeight="1" spans="1:9">
      <c r="A43" t="s">
        <v>1011</v>
      </c>
      <c r="B43" t="s">
        <v>559</v>
      </c>
      <c r="C43" t="s">
        <v>448</v>
      </c>
      <c r="D43">
        <v>1</v>
      </c>
      <c r="E43" s="27">
        <v>543.43</v>
      </c>
      <c r="F43" s="28">
        <v>0.05</v>
      </c>
      <c r="G43" s="27">
        <v>516.26</v>
      </c>
      <c r="H43" s="27">
        <v>103.25</v>
      </c>
      <c r="I43" s="27">
        <v>619.51</v>
      </c>
    </row>
    <row r="44" ht="15" customHeight="1" spans="1:9">
      <c r="A44" t="s">
        <v>1012</v>
      </c>
      <c r="B44" t="s">
        <v>560</v>
      </c>
      <c r="C44" t="s">
        <v>465</v>
      </c>
      <c r="D44">
        <v>3</v>
      </c>
      <c r="E44" s="27">
        <v>44.16</v>
      </c>
      <c r="F44" s="28">
        <v>0</v>
      </c>
      <c r="G44" s="27">
        <v>132.48</v>
      </c>
      <c r="H44" s="27">
        <v>26.5</v>
      </c>
      <c r="I44" s="27">
        <v>158.98</v>
      </c>
    </row>
    <row r="45" ht="15" customHeight="1" spans="1:9">
      <c r="A45" t="s">
        <v>1013</v>
      </c>
      <c r="B45" t="s">
        <v>561</v>
      </c>
      <c r="C45" t="s">
        <v>456</v>
      </c>
      <c r="D45">
        <v>8</v>
      </c>
      <c r="E45" s="27">
        <v>62.13</v>
      </c>
      <c r="F45" s="28">
        <v>0</v>
      </c>
      <c r="G45" s="27">
        <v>497.04</v>
      </c>
      <c r="H45" s="27">
        <v>99.41</v>
      </c>
      <c r="I45" s="27">
        <v>596.45</v>
      </c>
    </row>
    <row r="46" ht="15" customHeight="1" spans="1:9">
      <c r="A46" t="s">
        <v>1014</v>
      </c>
      <c r="B46" t="s">
        <v>562</v>
      </c>
      <c r="C46" t="s">
        <v>414</v>
      </c>
      <c r="D46">
        <v>3</v>
      </c>
      <c r="E46" s="27">
        <v>63.96</v>
      </c>
      <c r="F46" s="28">
        <v>0.1</v>
      </c>
      <c r="G46" s="27">
        <v>172.69</v>
      </c>
      <c r="H46" s="27">
        <v>34.54</v>
      </c>
      <c r="I46" s="27">
        <v>207.23</v>
      </c>
    </row>
    <row r="47" ht="15" customHeight="1" spans="1:9">
      <c r="A47" t="s">
        <v>1015</v>
      </c>
      <c r="B47" t="s">
        <v>562</v>
      </c>
      <c r="C47" t="s">
        <v>452</v>
      </c>
      <c r="D47">
        <v>1</v>
      </c>
      <c r="E47" s="27">
        <v>381.57</v>
      </c>
      <c r="F47" s="28">
        <v>0</v>
      </c>
      <c r="G47" s="27">
        <v>381.57</v>
      </c>
      <c r="H47" s="27">
        <v>76.31</v>
      </c>
      <c r="I47" s="27">
        <v>457.88</v>
      </c>
    </row>
    <row r="48" ht="15" customHeight="1" spans="1:9">
      <c r="A48" t="s">
        <v>1016</v>
      </c>
      <c r="B48" t="s">
        <v>563</v>
      </c>
      <c r="C48" t="s">
        <v>438</v>
      </c>
      <c r="D48">
        <v>2</v>
      </c>
      <c r="E48" s="27">
        <v>295.97</v>
      </c>
      <c r="F48" s="28">
        <v>0.05</v>
      </c>
      <c r="G48" s="27">
        <v>562.34</v>
      </c>
      <c r="H48" s="27">
        <v>112.47</v>
      </c>
      <c r="I48" s="27">
        <v>674.81</v>
      </c>
    </row>
    <row r="49" ht="15" customHeight="1" spans="1:9">
      <c r="A49" t="s">
        <v>1017</v>
      </c>
      <c r="B49" t="s">
        <v>563</v>
      </c>
      <c r="C49" t="s">
        <v>408</v>
      </c>
      <c r="D49">
        <v>1</v>
      </c>
      <c r="E49" s="27">
        <v>19.65</v>
      </c>
      <c r="F49" s="28">
        <v>0.1</v>
      </c>
      <c r="G49" s="27">
        <v>17.68</v>
      </c>
      <c r="H49" s="27">
        <v>3.54</v>
      </c>
      <c r="I49" s="27">
        <v>21.22</v>
      </c>
    </row>
    <row r="50" ht="15" customHeight="1" spans="1:9">
      <c r="A50" t="s">
        <v>1018</v>
      </c>
      <c r="B50" t="s">
        <v>563</v>
      </c>
      <c r="C50" t="s">
        <v>387</v>
      </c>
      <c r="D50">
        <v>1</v>
      </c>
      <c r="E50" s="27">
        <v>37.91</v>
      </c>
      <c r="F50" s="28">
        <v>0</v>
      </c>
      <c r="G50" s="27">
        <v>37.91</v>
      </c>
      <c r="H50" s="27">
        <v>7.58</v>
      </c>
      <c r="I50" s="27">
        <v>45.49</v>
      </c>
    </row>
    <row r="51" ht="15" customHeight="1" spans="1:9">
      <c r="A51" t="s">
        <v>1019</v>
      </c>
      <c r="B51" t="s">
        <v>564</v>
      </c>
      <c r="C51" t="s">
        <v>452</v>
      </c>
      <c r="D51">
        <v>1</v>
      </c>
      <c r="E51" s="27">
        <v>381.57</v>
      </c>
      <c r="F51" s="28">
        <v>0</v>
      </c>
      <c r="G51" s="27">
        <v>381.57</v>
      </c>
      <c r="H51" s="27">
        <v>76.31</v>
      </c>
      <c r="I51" s="27">
        <v>457.88</v>
      </c>
    </row>
    <row r="52" ht="15" customHeight="1" spans="1:9">
      <c r="A52" t="s">
        <v>1020</v>
      </c>
      <c r="B52" t="s">
        <v>565</v>
      </c>
      <c r="C52" t="s">
        <v>429</v>
      </c>
      <c r="D52">
        <v>1</v>
      </c>
      <c r="E52" s="27">
        <v>32.75</v>
      </c>
      <c r="F52" s="28">
        <v>0.05</v>
      </c>
      <c r="G52" s="27">
        <v>31.11</v>
      </c>
      <c r="H52" s="27">
        <v>6.22</v>
      </c>
      <c r="I52" s="27">
        <v>37.33</v>
      </c>
    </row>
    <row r="53" ht="15" customHeight="1" spans="1:9">
      <c r="A53" t="s">
        <v>1021</v>
      </c>
      <c r="B53" t="s">
        <v>565</v>
      </c>
      <c r="C53" t="s">
        <v>444</v>
      </c>
      <c r="D53">
        <v>3</v>
      </c>
      <c r="E53" s="27">
        <v>442.3</v>
      </c>
      <c r="F53" s="28">
        <v>0.1</v>
      </c>
      <c r="G53" s="27">
        <v>1194.21</v>
      </c>
      <c r="H53" s="27">
        <v>238.84</v>
      </c>
      <c r="I53" s="27">
        <v>1433.05</v>
      </c>
    </row>
    <row r="54" ht="15" customHeight="1" spans="1:9">
      <c r="A54" t="s">
        <v>1022</v>
      </c>
      <c r="B54" t="s">
        <v>566</v>
      </c>
      <c r="C54" t="s">
        <v>377</v>
      </c>
      <c r="D54">
        <v>4</v>
      </c>
      <c r="E54" s="27">
        <v>84.94</v>
      </c>
      <c r="F54" s="28">
        <v>0.1</v>
      </c>
      <c r="G54" s="27">
        <v>305.78</v>
      </c>
      <c r="H54" s="27">
        <v>61.16</v>
      </c>
      <c r="I54" s="27">
        <v>366.94</v>
      </c>
    </row>
    <row r="55" ht="15" customHeight="1" spans="1:9">
      <c r="A55" t="s">
        <v>1023</v>
      </c>
      <c r="B55" t="s">
        <v>567</v>
      </c>
      <c r="C55" t="s">
        <v>393</v>
      </c>
      <c r="D55">
        <v>3</v>
      </c>
      <c r="E55" s="27">
        <v>196.18</v>
      </c>
      <c r="F55" s="28">
        <v>0.1</v>
      </c>
      <c r="G55" s="27">
        <v>529.69</v>
      </c>
      <c r="H55" s="27">
        <v>105.94</v>
      </c>
      <c r="I55" s="27">
        <v>635.63</v>
      </c>
    </row>
    <row r="56" ht="15" customHeight="1" spans="1:9">
      <c r="A56" t="s">
        <v>1024</v>
      </c>
      <c r="B56" t="s">
        <v>567</v>
      </c>
      <c r="C56" t="s">
        <v>433</v>
      </c>
      <c r="D56">
        <v>3</v>
      </c>
      <c r="E56" s="27">
        <v>58.14</v>
      </c>
      <c r="F56" s="28">
        <v>0</v>
      </c>
      <c r="G56" s="27">
        <v>174.42</v>
      </c>
      <c r="H56" s="27">
        <v>34.88</v>
      </c>
      <c r="I56" s="27">
        <v>209.3</v>
      </c>
    </row>
    <row r="57" ht="15" customHeight="1" spans="1:9">
      <c r="A57" t="s">
        <v>1025</v>
      </c>
      <c r="B57" t="s">
        <v>567</v>
      </c>
      <c r="C57" t="s">
        <v>380</v>
      </c>
      <c r="D57">
        <v>1</v>
      </c>
      <c r="E57" s="27">
        <v>80.3</v>
      </c>
      <c r="F57" s="28">
        <v>0</v>
      </c>
      <c r="G57" s="27">
        <v>80.3</v>
      </c>
      <c r="H57" s="27">
        <v>16.06</v>
      </c>
      <c r="I57" s="27">
        <v>96.36</v>
      </c>
    </row>
    <row r="58" ht="15" customHeight="1" spans="1:9">
      <c r="A58" t="s">
        <v>1026</v>
      </c>
      <c r="B58" t="s">
        <v>567</v>
      </c>
      <c r="C58" t="s">
        <v>404</v>
      </c>
      <c r="D58">
        <v>1</v>
      </c>
      <c r="E58" s="27">
        <v>30.09</v>
      </c>
      <c r="F58" s="28">
        <v>0.05</v>
      </c>
      <c r="G58" s="27">
        <v>28.59</v>
      </c>
      <c r="H58" s="27">
        <v>5.72</v>
      </c>
      <c r="I58" s="27">
        <v>34.31</v>
      </c>
    </row>
    <row r="59" ht="15" customHeight="1" spans="1:9">
      <c r="A59" t="s">
        <v>1027</v>
      </c>
      <c r="B59" t="s">
        <v>567</v>
      </c>
      <c r="C59" t="s">
        <v>442</v>
      </c>
      <c r="D59">
        <v>1</v>
      </c>
      <c r="E59" s="27">
        <v>374.59</v>
      </c>
      <c r="F59" s="28">
        <v>0</v>
      </c>
      <c r="G59" s="27">
        <v>374.59</v>
      </c>
      <c r="H59" s="27">
        <v>74.92</v>
      </c>
      <c r="I59" s="27">
        <v>449.51</v>
      </c>
    </row>
    <row r="60" ht="15" customHeight="1" spans="1:9">
      <c r="A60" t="s">
        <v>1028</v>
      </c>
      <c r="B60" t="s">
        <v>568</v>
      </c>
      <c r="C60" t="s">
        <v>419</v>
      </c>
      <c r="D60">
        <v>1</v>
      </c>
      <c r="E60" s="27">
        <v>100.34</v>
      </c>
      <c r="F60" s="28">
        <v>0.15</v>
      </c>
      <c r="G60" s="27">
        <v>85.29</v>
      </c>
      <c r="H60" s="27">
        <v>17.06</v>
      </c>
      <c r="I60" s="27">
        <v>102.35</v>
      </c>
    </row>
    <row r="61" ht="15" customHeight="1" spans="1:9">
      <c r="A61" t="s">
        <v>1029</v>
      </c>
      <c r="B61" t="s">
        <v>568</v>
      </c>
      <c r="C61" t="s">
        <v>391</v>
      </c>
      <c r="D61">
        <v>1</v>
      </c>
      <c r="E61" s="27">
        <v>138.13</v>
      </c>
      <c r="F61" s="28">
        <v>0</v>
      </c>
      <c r="G61" s="27">
        <v>138.13</v>
      </c>
      <c r="H61" s="27">
        <v>27.63</v>
      </c>
      <c r="I61" s="27">
        <v>165.76</v>
      </c>
    </row>
    <row r="62" ht="15" customHeight="1" spans="1:9">
      <c r="A62" t="s">
        <v>1030</v>
      </c>
      <c r="B62" t="s">
        <v>568</v>
      </c>
      <c r="C62" t="s">
        <v>406</v>
      </c>
      <c r="D62">
        <v>1</v>
      </c>
      <c r="E62" s="27">
        <v>18.86</v>
      </c>
      <c r="F62" s="28">
        <v>0.1</v>
      </c>
      <c r="G62" s="27">
        <v>16.97</v>
      </c>
      <c r="H62" s="27">
        <v>3.39</v>
      </c>
      <c r="I62" s="27">
        <v>20.36</v>
      </c>
    </row>
    <row r="63" ht="15" customHeight="1" spans="1:9">
      <c r="A63" t="s">
        <v>1031</v>
      </c>
      <c r="B63" t="s">
        <v>568</v>
      </c>
      <c r="C63" t="s">
        <v>391</v>
      </c>
      <c r="D63">
        <v>3</v>
      </c>
      <c r="E63" s="27">
        <v>138.13</v>
      </c>
      <c r="F63" s="28">
        <v>0.15</v>
      </c>
      <c r="G63" s="27">
        <v>352.23</v>
      </c>
      <c r="H63" s="27">
        <v>70.45</v>
      </c>
      <c r="I63" s="27">
        <v>422.68</v>
      </c>
    </row>
    <row r="64" ht="15" customHeight="1" spans="1:9">
      <c r="A64" t="s">
        <v>1032</v>
      </c>
      <c r="B64" t="s">
        <v>569</v>
      </c>
      <c r="C64" t="s">
        <v>456</v>
      </c>
      <c r="D64">
        <v>1</v>
      </c>
      <c r="E64" s="27">
        <v>62.13</v>
      </c>
      <c r="F64" s="28">
        <v>0.05</v>
      </c>
      <c r="G64" s="27">
        <v>59.02</v>
      </c>
      <c r="H64" s="27">
        <v>11.8</v>
      </c>
      <c r="I64" s="27">
        <v>70.82</v>
      </c>
    </row>
    <row r="65" ht="15" customHeight="1" spans="1:9">
      <c r="A65" t="s">
        <v>1033</v>
      </c>
      <c r="B65" t="s">
        <v>569</v>
      </c>
      <c r="C65" t="s">
        <v>377</v>
      </c>
      <c r="D65">
        <v>2</v>
      </c>
      <c r="E65" s="27">
        <v>84.94</v>
      </c>
      <c r="F65" s="28">
        <v>0.15</v>
      </c>
      <c r="G65" s="27">
        <v>144.4</v>
      </c>
      <c r="H65" s="27">
        <v>28.88</v>
      </c>
      <c r="I65" s="27">
        <v>173.28</v>
      </c>
    </row>
    <row r="66" ht="15" customHeight="1" spans="1:9">
      <c r="A66" t="s">
        <v>1034</v>
      </c>
      <c r="B66" t="s">
        <v>569</v>
      </c>
      <c r="C66" t="s">
        <v>412</v>
      </c>
      <c r="D66">
        <v>3</v>
      </c>
      <c r="E66" s="27">
        <v>114.1</v>
      </c>
      <c r="F66" s="28">
        <v>0.1</v>
      </c>
      <c r="G66" s="27">
        <v>308.07</v>
      </c>
      <c r="H66" s="27">
        <v>61.61</v>
      </c>
      <c r="I66" s="27">
        <v>369.68</v>
      </c>
    </row>
    <row r="67" ht="15" customHeight="1" spans="1:9">
      <c r="A67" t="s">
        <v>1035</v>
      </c>
      <c r="B67" t="s">
        <v>569</v>
      </c>
      <c r="C67" t="s">
        <v>374</v>
      </c>
      <c r="D67">
        <v>1</v>
      </c>
      <c r="E67" s="27">
        <v>251.56</v>
      </c>
      <c r="F67" s="28">
        <v>0</v>
      </c>
      <c r="G67" s="27">
        <v>251.56</v>
      </c>
      <c r="H67" s="27">
        <v>50.31</v>
      </c>
      <c r="I67" s="27">
        <v>301.87</v>
      </c>
    </row>
    <row r="68" ht="15" customHeight="1" spans="1:9">
      <c r="A68" t="s">
        <v>1036</v>
      </c>
      <c r="B68" t="s">
        <v>570</v>
      </c>
      <c r="C68" t="s">
        <v>380</v>
      </c>
      <c r="D68">
        <v>2</v>
      </c>
      <c r="E68" s="27">
        <v>80.3</v>
      </c>
      <c r="F68" s="28">
        <v>0.1</v>
      </c>
      <c r="G68" s="27">
        <v>144.54</v>
      </c>
      <c r="H68" s="27">
        <v>28.91</v>
      </c>
      <c r="I68" s="27">
        <v>173.45</v>
      </c>
    </row>
    <row r="69" ht="15" customHeight="1" spans="1:9">
      <c r="A69" t="s">
        <v>1037</v>
      </c>
      <c r="B69" t="s">
        <v>570</v>
      </c>
      <c r="C69" t="s">
        <v>423</v>
      </c>
      <c r="D69">
        <v>2</v>
      </c>
      <c r="E69" s="27">
        <v>46.02</v>
      </c>
      <c r="F69" s="28">
        <v>0.1</v>
      </c>
      <c r="G69" s="27">
        <v>82.84</v>
      </c>
      <c r="H69" s="27">
        <v>16.57</v>
      </c>
      <c r="I69" s="27">
        <v>99.41</v>
      </c>
    </row>
    <row r="70" ht="15" customHeight="1" spans="1:9">
      <c r="A70" t="s">
        <v>1038</v>
      </c>
      <c r="B70" t="s">
        <v>571</v>
      </c>
      <c r="C70" t="s">
        <v>431</v>
      </c>
      <c r="D70">
        <v>1</v>
      </c>
      <c r="E70" s="27">
        <v>47.74</v>
      </c>
      <c r="F70" s="28">
        <v>0</v>
      </c>
      <c r="G70" s="27">
        <v>47.74</v>
      </c>
      <c r="H70" s="27">
        <v>9.55</v>
      </c>
      <c r="I70" s="27">
        <v>57.29</v>
      </c>
    </row>
    <row r="71" ht="15" customHeight="1" spans="1:9">
      <c r="A71" t="s">
        <v>1039</v>
      </c>
      <c r="B71" t="s">
        <v>571</v>
      </c>
      <c r="C71" t="s">
        <v>467</v>
      </c>
      <c r="D71">
        <v>1</v>
      </c>
      <c r="E71" s="27">
        <v>49.53</v>
      </c>
      <c r="F71" s="28">
        <v>0.15</v>
      </c>
      <c r="G71" s="27">
        <v>42.1</v>
      </c>
      <c r="H71" s="27">
        <v>8.42</v>
      </c>
      <c r="I71" s="27">
        <v>50.52</v>
      </c>
    </row>
    <row r="72" ht="15" customHeight="1" spans="1:9">
      <c r="A72" t="s">
        <v>1040</v>
      </c>
      <c r="B72" t="s">
        <v>571</v>
      </c>
      <c r="C72" t="s">
        <v>396</v>
      </c>
      <c r="D72">
        <v>1</v>
      </c>
      <c r="E72" s="27">
        <v>225.64</v>
      </c>
      <c r="F72" s="28">
        <v>0.15</v>
      </c>
      <c r="G72" s="27">
        <v>191.79</v>
      </c>
      <c r="H72" s="27">
        <v>38.36</v>
      </c>
      <c r="I72" s="27">
        <v>230.15</v>
      </c>
    </row>
    <row r="73" ht="15" customHeight="1" spans="1:9">
      <c r="A73" t="s">
        <v>1041</v>
      </c>
      <c r="B73" t="s">
        <v>571</v>
      </c>
      <c r="C73" t="s">
        <v>431</v>
      </c>
      <c r="D73">
        <v>10</v>
      </c>
      <c r="E73" s="27">
        <v>47.74</v>
      </c>
      <c r="F73" s="28">
        <v>0.1</v>
      </c>
      <c r="G73" s="27">
        <v>429.66</v>
      </c>
      <c r="H73" s="27">
        <v>85.93</v>
      </c>
      <c r="I73" s="27">
        <v>515.59</v>
      </c>
    </row>
    <row r="74" ht="15" customHeight="1" spans="1:9">
      <c r="A74" t="s">
        <v>1042</v>
      </c>
      <c r="B74" t="s">
        <v>571</v>
      </c>
      <c r="C74" t="s">
        <v>442</v>
      </c>
      <c r="D74">
        <v>2</v>
      </c>
      <c r="E74" s="27">
        <v>374.59</v>
      </c>
      <c r="F74" s="28">
        <v>0</v>
      </c>
      <c r="G74" s="27">
        <v>749.18</v>
      </c>
      <c r="H74" s="27">
        <v>149.84</v>
      </c>
      <c r="I74" s="27">
        <v>899.02</v>
      </c>
    </row>
    <row r="75" ht="15" customHeight="1" spans="1:9">
      <c r="A75" t="s">
        <v>1043</v>
      </c>
      <c r="B75" t="s">
        <v>572</v>
      </c>
      <c r="C75" t="s">
        <v>459</v>
      </c>
      <c r="D75">
        <v>1</v>
      </c>
      <c r="E75" s="27">
        <v>70.8</v>
      </c>
      <c r="F75" s="28">
        <v>0</v>
      </c>
      <c r="G75" s="27">
        <v>70.8</v>
      </c>
      <c r="H75" s="27">
        <v>14.16</v>
      </c>
      <c r="I75" s="27">
        <v>84.96</v>
      </c>
    </row>
    <row r="76" ht="15" customHeight="1" spans="1:9">
      <c r="A76" t="s">
        <v>1044</v>
      </c>
      <c r="B76" t="s">
        <v>572</v>
      </c>
      <c r="C76" t="s">
        <v>383</v>
      </c>
      <c r="D76">
        <v>2</v>
      </c>
      <c r="E76" s="27">
        <v>39.08</v>
      </c>
      <c r="F76" s="28">
        <v>0.05</v>
      </c>
      <c r="G76" s="27">
        <v>74.25</v>
      </c>
      <c r="H76" s="27">
        <v>14.85</v>
      </c>
      <c r="I76" s="27">
        <v>89.1</v>
      </c>
    </row>
    <row r="77" ht="15" customHeight="1" spans="1:9">
      <c r="A77" t="s">
        <v>1045</v>
      </c>
      <c r="B77" t="s">
        <v>572</v>
      </c>
      <c r="C77" t="s">
        <v>410</v>
      </c>
      <c r="D77">
        <v>1</v>
      </c>
      <c r="E77" s="27">
        <v>106.93</v>
      </c>
      <c r="F77" s="28">
        <v>0.15</v>
      </c>
      <c r="G77" s="27">
        <v>90.89</v>
      </c>
      <c r="H77" s="27">
        <v>18.18</v>
      </c>
      <c r="I77" s="27">
        <v>109.07</v>
      </c>
    </row>
    <row r="78" ht="15" customHeight="1" spans="1:9">
      <c r="A78" t="s">
        <v>1046</v>
      </c>
      <c r="B78" t="s">
        <v>573</v>
      </c>
      <c r="C78" t="s">
        <v>459</v>
      </c>
      <c r="D78">
        <v>2</v>
      </c>
      <c r="E78" s="27">
        <v>70.8</v>
      </c>
      <c r="F78" s="28">
        <v>0.05</v>
      </c>
      <c r="G78" s="27">
        <v>134.52</v>
      </c>
      <c r="H78" s="27">
        <v>26.9</v>
      </c>
      <c r="I78" s="27">
        <v>161.42</v>
      </c>
    </row>
    <row r="79" ht="15" customHeight="1" spans="1:9">
      <c r="A79" t="s">
        <v>1047</v>
      </c>
      <c r="B79" t="s">
        <v>573</v>
      </c>
      <c r="C79" t="s">
        <v>389</v>
      </c>
      <c r="D79">
        <v>2</v>
      </c>
      <c r="E79" s="27">
        <v>120.37</v>
      </c>
      <c r="F79" s="28">
        <v>0</v>
      </c>
      <c r="G79" s="27">
        <v>240.74</v>
      </c>
      <c r="H79" s="27">
        <v>48.15</v>
      </c>
      <c r="I79" s="27">
        <v>288.89</v>
      </c>
    </row>
    <row r="80" ht="15" customHeight="1" spans="1:9">
      <c r="A80" t="s">
        <v>1048</v>
      </c>
      <c r="B80" t="s">
        <v>574</v>
      </c>
      <c r="C80" t="s">
        <v>370</v>
      </c>
      <c r="D80">
        <v>1</v>
      </c>
      <c r="E80" s="27">
        <v>970.58</v>
      </c>
      <c r="F80" s="28">
        <v>0</v>
      </c>
      <c r="G80" s="27">
        <v>970.58</v>
      </c>
      <c r="H80" s="27">
        <v>194.12</v>
      </c>
      <c r="I80" s="27">
        <v>1164.7</v>
      </c>
    </row>
    <row r="81" ht="15" customHeight="1" spans="1:9">
      <c r="A81" t="s">
        <v>1049</v>
      </c>
      <c r="B81" t="s">
        <v>574</v>
      </c>
      <c r="C81" t="s">
        <v>400</v>
      </c>
      <c r="D81">
        <v>1</v>
      </c>
      <c r="E81" s="27">
        <v>328.03</v>
      </c>
      <c r="F81" s="28">
        <v>0.05</v>
      </c>
      <c r="G81" s="27">
        <v>311.63</v>
      </c>
      <c r="H81" s="27">
        <v>62.33</v>
      </c>
      <c r="I81" s="27">
        <v>373.96</v>
      </c>
    </row>
    <row r="82" ht="15" customHeight="1" spans="1:9">
      <c r="A82" t="s">
        <v>1050</v>
      </c>
      <c r="B82" t="s">
        <v>575</v>
      </c>
      <c r="C82" t="s">
        <v>475</v>
      </c>
      <c r="D82">
        <v>2</v>
      </c>
      <c r="E82" s="27">
        <v>42</v>
      </c>
      <c r="F82" s="28">
        <v>0.1</v>
      </c>
      <c r="G82" s="27">
        <v>75.6</v>
      </c>
      <c r="H82" s="27">
        <v>15.12</v>
      </c>
      <c r="I82" s="27">
        <v>90.72</v>
      </c>
    </row>
    <row r="83" ht="15" customHeight="1" spans="1:9">
      <c r="A83" t="s">
        <v>1051</v>
      </c>
      <c r="B83" t="s">
        <v>575</v>
      </c>
      <c r="C83" t="s">
        <v>423</v>
      </c>
      <c r="D83">
        <v>1</v>
      </c>
      <c r="E83" s="27">
        <v>46.02</v>
      </c>
      <c r="F83" s="28">
        <v>0</v>
      </c>
      <c r="G83" s="27">
        <v>46.02</v>
      </c>
      <c r="H83" s="27">
        <v>9.2</v>
      </c>
      <c r="I83" s="27">
        <v>55.22</v>
      </c>
    </row>
    <row r="84" ht="15" customHeight="1" spans="1:9">
      <c r="A84" t="s">
        <v>1052</v>
      </c>
      <c r="B84" t="s">
        <v>575</v>
      </c>
      <c r="C84" t="s">
        <v>465</v>
      </c>
      <c r="D84">
        <v>3</v>
      </c>
      <c r="E84" s="27">
        <v>44.16</v>
      </c>
      <c r="F84" s="28">
        <v>0</v>
      </c>
      <c r="G84" s="27">
        <v>132.48</v>
      </c>
      <c r="H84" s="27">
        <v>26.5</v>
      </c>
      <c r="I84" s="27">
        <v>158.98</v>
      </c>
    </row>
    <row r="85" ht="15" customHeight="1" spans="1:9">
      <c r="A85" t="s">
        <v>1053</v>
      </c>
      <c r="B85" t="s">
        <v>576</v>
      </c>
      <c r="C85" t="s">
        <v>473</v>
      </c>
      <c r="D85">
        <v>3</v>
      </c>
      <c r="E85" s="27">
        <v>40.73</v>
      </c>
      <c r="F85" s="28">
        <v>0.05</v>
      </c>
      <c r="G85" s="27">
        <v>116.08</v>
      </c>
      <c r="H85" s="27">
        <v>23.22</v>
      </c>
      <c r="I85" s="27">
        <v>139.3</v>
      </c>
    </row>
    <row r="86" ht="15" customHeight="1" spans="1:9">
      <c r="A86" t="s">
        <v>1054</v>
      </c>
      <c r="B86" t="s">
        <v>576</v>
      </c>
      <c r="C86" t="s">
        <v>402</v>
      </c>
      <c r="D86">
        <v>2</v>
      </c>
      <c r="E86" s="27">
        <v>26.57</v>
      </c>
      <c r="F86" s="28">
        <v>0</v>
      </c>
      <c r="G86" s="27">
        <v>53.14</v>
      </c>
      <c r="H86" s="27">
        <v>10.63</v>
      </c>
      <c r="I86" s="27">
        <v>63.77</v>
      </c>
    </row>
    <row r="87" ht="15" customHeight="1" spans="1:9">
      <c r="A87" t="s">
        <v>1055</v>
      </c>
      <c r="B87" t="s">
        <v>577</v>
      </c>
      <c r="C87" t="s">
        <v>475</v>
      </c>
      <c r="D87">
        <v>1</v>
      </c>
      <c r="E87" s="27">
        <v>42</v>
      </c>
      <c r="F87" s="28">
        <v>0.1</v>
      </c>
      <c r="G87" s="27">
        <v>37.8</v>
      </c>
      <c r="H87" s="27">
        <v>7.56</v>
      </c>
      <c r="I87" s="27">
        <v>45.36</v>
      </c>
    </row>
    <row r="88" ht="15" customHeight="1" spans="1:9">
      <c r="A88" t="s">
        <v>1056</v>
      </c>
      <c r="B88" t="s">
        <v>577</v>
      </c>
      <c r="C88" t="s">
        <v>427</v>
      </c>
      <c r="D88">
        <v>8</v>
      </c>
      <c r="E88" s="27">
        <v>25.25</v>
      </c>
      <c r="F88" s="28">
        <v>0</v>
      </c>
      <c r="G88" s="27">
        <v>202</v>
      </c>
      <c r="H88" s="27">
        <v>40.4</v>
      </c>
      <c r="I88" s="27">
        <v>242.4</v>
      </c>
    </row>
    <row r="89" ht="15" customHeight="1" spans="1:9">
      <c r="A89" t="s">
        <v>1057</v>
      </c>
      <c r="B89" t="s">
        <v>577</v>
      </c>
      <c r="C89" t="s">
        <v>452</v>
      </c>
      <c r="D89">
        <v>1</v>
      </c>
      <c r="E89" s="27">
        <v>381.57</v>
      </c>
      <c r="F89" s="28">
        <v>0</v>
      </c>
      <c r="G89" s="27">
        <v>381.57</v>
      </c>
      <c r="H89" s="27">
        <v>76.31</v>
      </c>
      <c r="I89" s="27">
        <v>457.88</v>
      </c>
    </row>
    <row r="90" ht="15" customHeight="1" spans="1:9">
      <c r="A90" t="s">
        <v>1058</v>
      </c>
      <c r="B90" t="s">
        <v>578</v>
      </c>
      <c r="C90" t="s">
        <v>473</v>
      </c>
      <c r="D90">
        <v>1</v>
      </c>
      <c r="E90" s="27">
        <v>40.73</v>
      </c>
      <c r="F90" s="28">
        <v>0.05</v>
      </c>
      <c r="G90" s="27">
        <v>38.69</v>
      </c>
      <c r="H90" s="27">
        <v>7.74</v>
      </c>
      <c r="I90" s="27">
        <v>46.43</v>
      </c>
    </row>
    <row r="91" ht="15" customHeight="1" spans="1:9">
      <c r="A91" t="s">
        <v>1059</v>
      </c>
      <c r="B91" t="s">
        <v>579</v>
      </c>
      <c r="C91" t="s">
        <v>370</v>
      </c>
      <c r="D91">
        <v>1</v>
      </c>
      <c r="E91" s="27">
        <v>970.58</v>
      </c>
      <c r="F91" s="28">
        <v>0.05</v>
      </c>
      <c r="G91" s="27">
        <v>922.05</v>
      </c>
      <c r="H91" s="27">
        <v>184.41</v>
      </c>
      <c r="I91" s="27">
        <v>1106.46</v>
      </c>
    </row>
    <row r="92" ht="15" customHeight="1" spans="1:9">
      <c r="A92" t="s">
        <v>1060</v>
      </c>
      <c r="B92" t="s">
        <v>579</v>
      </c>
      <c r="C92" t="s">
        <v>440</v>
      </c>
      <c r="D92">
        <v>1</v>
      </c>
      <c r="E92" s="27">
        <v>391.34</v>
      </c>
      <c r="F92" s="28">
        <v>0.05</v>
      </c>
      <c r="G92" s="27">
        <v>371.77</v>
      </c>
      <c r="H92" s="27">
        <v>74.35</v>
      </c>
      <c r="I92" s="27">
        <v>446.12</v>
      </c>
    </row>
    <row r="93" ht="15" customHeight="1" spans="1:9">
      <c r="A93" t="s">
        <v>1061</v>
      </c>
      <c r="B93" t="s">
        <v>579</v>
      </c>
      <c r="C93" t="s">
        <v>380</v>
      </c>
      <c r="D93">
        <v>1</v>
      </c>
      <c r="E93" s="27">
        <v>80.3</v>
      </c>
      <c r="F93" s="28">
        <v>0</v>
      </c>
      <c r="G93" s="27">
        <v>80.3</v>
      </c>
      <c r="H93" s="27">
        <v>16.06</v>
      </c>
      <c r="I93" s="27">
        <v>96.36</v>
      </c>
    </row>
    <row r="94" ht="15" customHeight="1" spans="1:9">
      <c r="A94" t="s">
        <v>1062</v>
      </c>
      <c r="B94" t="s">
        <v>579</v>
      </c>
      <c r="C94" t="s">
        <v>414</v>
      </c>
      <c r="D94">
        <v>5</v>
      </c>
      <c r="E94" s="27">
        <v>63.96</v>
      </c>
      <c r="F94" s="28">
        <v>0.15</v>
      </c>
      <c r="G94" s="27">
        <v>271.83</v>
      </c>
      <c r="H94" s="27">
        <v>54.37</v>
      </c>
      <c r="I94" s="27">
        <v>326.2</v>
      </c>
    </row>
    <row r="95" ht="15" customHeight="1" spans="1:9">
      <c r="A95" t="s">
        <v>1063</v>
      </c>
      <c r="B95" t="s">
        <v>580</v>
      </c>
      <c r="C95" t="s">
        <v>435</v>
      </c>
      <c r="D95">
        <v>1</v>
      </c>
      <c r="E95" s="27">
        <v>262.34</v>
      </c>
      <c r="F95" s="28">
        <v>0</v>
      </c>
      <c r="G95" s="27">
        <v>262.34</v>
      </c>
      <c r="H95" s="27">
        <v>52.47</v>
      </c>
      <c r="I95" s="27">
        <v>314.81</v>
      </c>
    </row>
    <row r="96" ht="15" customHeight="1" spans="1:9">
      <c r="A96" t="s">
        <v>1064</v>
      </c>
      <c r="B96" t="s">
        <v>580</v>
      </c>
      <c r="C96" t="s">
        <v>380</v>
      </c>
      <c r="D96">
        <v>1</v>
      </c>
      <c r="E96" s="27">
        <v>80.3</v>
      </c>
      <c r="F96" s="28">
        <v>0</v>
      </c>
      <c r="G96" s="27">
        <v>80.3</v>
      </c>
      <c r="H96" s="27">
        <v>16.06</v>
      </c>
      <c r="I96" s="27">
        <v>96.36</v>
      </c>
    </row>
    <row r="97" ht="15" customHeight="1" spans="1:9">
      <c r="A97" t="s">
        <v>1065</v>
      </c>
      <c r="B97" t="s">
        <v>580</v>
      </c>
      <c r="C97" t="s">
        <v>391</v>
      </c>
      <c r="D97">
        <v>2</v>
      </c>
      <c r="E97" s="27">
        <v>138.13</v>
      </c>
      <c r="F97" s="28">
        <v>0.15</v>
      </c>
      <c r="G97" s="27">
        <v>234.82</v>
      </c>
      <c r="H97" s="27">
        <v>46.96</v>
      </c>
      <c r="I97" s="27">
        <v>281.78</v>
      </c>
    </row>
    <row r="98" ht="15" customHeight="1" spans="1:9">
      <c r="A98" t="s">
        <v>1066</v>
      </c>
      <c r="B98" t="s">
        <v>581</v>
      </c>
      <c r="C98" t="s">
        <v>404</v>
      </c>
      <c r="D98">
        <v>1</v>
      </c>
      <c r="E98" s="27">
        <v>30.09</v>
      </c>
      <c r="F98" s="28">
        <v>0.1</v>
      </c>
      <c r="G98" s="27">
        <v>27.08</v>
      </c>
      <c r="H98" s="27">
        <v>5.42</v>
      </c>
      <c r="I98" s="27">
        <v>32.5</v>
      </c>
    </row>
    <row r="99" ht="15" customHeight="1" spans="1:9">
      <c r="A99" t="s">
        <v>1067</v>
      </c>
      <c r="B99" t="s">
        <v>582</v>
      </c>
      <c r="C99" t="s">
        <v>410</v>
      </c>
      <c r="D99">
        <v>1</v>
      </c>
      <c r="E99" s="27">
        <v>106.93</v>
      </c>
      <c r="F99" s="28">
        <v>0.1</v>
      </c>
      <c r="G99" s="27">
        <v>96.24</v>
      </c>
      <c r="H99" s="27">
        <v>19.25</v>
      </c>
      <c r="I99" s="27">
        <v>115.49</v>
      </c>
    </row>
    <row r="100" ht="15" customHeight="1" spans="1:9">
      <c r="A100" t="s">
        <v>1068</v>
      </c>
      <c r="B100" t="s">
        <v>582</v>
      </c>
      <c r="C100" t="s">
        <v>419</v>
      </c>
      <c r="D100">
        <v>1</v>
      </c>
      <c r="E100" s="27">
        <v>100.34</v>
      </c>
      <c r="F100" s="28">
        <v>0.05</v>
      </c>
      <c r="G100" s="27">
        <v>95.32</v>
      </c>
      <c r="H100" s="27">
        <v>19.06</v>
      </c>
      <c r="I100" s="27">
        <v>114.38</v>
      </c>
    </row>
    <row r="101" ht="15" customHeight="1" spans="1:9">
      <c r="A101" t="s">
        <v>1069</v>
      </c>
      <c r="B101" t="s">
        <v>582</v>
      </c>
      <c r="C101" t="s">
        <v>396</v>
      </c>
      <c r="D101">
        <v>2</v>
      </c>
      <c r="E101" s="27">
        <v>225.64</v>
      </c>
      <c r="F101" s="28">
        <v>0</v>
      </c>
      <c r="G101" s="27">
        <v>451.28</v>
      </c>
      <c r="H101" s="27">
        <v>90.26</v>
      </c>
      <c r="I101" s="27">
        <v>541.54</v>
      </c>
    </row>
    <row r="102" ht="15" customHeight="1" spans="1:9">
      <c r="A102" t="s">
        <v>1070</v>
      </c>
      <c r="B102" t="s">
        <v>583</v>
      </c>
      <c r="C102" t="s">
        <v>421</v>
      </c>
      <c r="D102">
        <v>1</v>
      </c>
      <c r="E102" s="27">
        <v>78.78</v>
      </c>
      <c r="F102" s="28">
        <v>0</v>
      </c>
      <c r="G102" s="27">
        <v>78.78</v>
      </c>
      <c r="H102" s="27">
        <v>15.76</v>
      </c>
      <c r="I102" s="27">
        <v>94.54</v>
      </c>
    </row>
    <row r="103" ht="15" customHeight="1" spans="1:9">
      <c r="A103" t="s">
        <v>1071</v>
      </c>
      <c r="B103" t="s">
        <v>583</v>
      </c>
      <c r="C103" t="s">
        <v>419</v>
      </c>
      <c r="D103">
        <v>3</v>
      </c>
      <c r="E103" s="27">
        <v>100.34</v>
      </c>
      <c r="F103" s="28">
        <v>0</v>
      </c>
      <c r="G103" s="27">
        <v>301.02</v>
      </c>
      <c r="H103" s="27">
        <v>60.2</v>
      </c>
      <c r="I103" s="27">
        <v>361.22</v>
      </c>
    </row>
    <row r="104" ht="15" customHeight="1" spans="1:9">
      <c r="A104" t="s">
        <v>1072</v>
      </c>
      <c r="B104" t="s">
        <v>584</v>
      </c>
      <c r="C104" t="s">
        <v>396</v>
      </c>
      <c r="D104">
        <v>3</v>
      </c>
      <c r="E104" s="27">
        <v>225.64</v>
      </c>
      <c r="F104" s="28">
        <v>0.15</v>
      </c>
      <c r="G104" s="27">
        <v>575.38</v>
      </c>
      <c r="H104" s="27">
        <v>115.08</v>
      </c>
      <c r="I104" s="27">
        <v>690.46</v>
      </c>
    </row>
    <row r="105" ht="15" customHeight="1" spans="1:9">
      <c r="A105" t="s">
        <v>1073</v>
      </c>
      <c r="B105" t="s">
        <v>584</v>
      </c>
      <c r="C105" t="s">
        <v>433</v>
      </c>
      <c r="D105">
        <v>10</v>
      </c>
      <c r="E105" s="27">
        <v>58.14</v>
      </c>
      <c r="F105" s="28">
        <v>0.05</v>
      </c>
      <c r="G105" s="27">
        <v>552.33</v>
      </c>
      <c r="H105" s="27">
        <v>110.47</v>
      </c>
      <c r="I105" s="27">
        <v>662.8</v>
      </c>
    </row>
    <row r="106" ht="15" customHeight="1" spans="1:9">
      <c r="A106" t="s">
        <v>1074</v>
      </c>
      <c r="B106" t="s">
        <v>584</v>
      </c>
      <c r="C106" t="s">
        <v>456</v>
      </c>
      <c r="D106">
        <v>1</v>
      </c>
      <c r="E106" s="27">
        <v>62.13</v>
      </c>
      <c r="F106" s="28">
        <v>0</v>
      </c>
      <c r="G106" s="27">
        <v>62.13</v>
      </c>
      <c r="H106" s="27">
        <v>12.43</v>
      </c>
      <c r="I106" s="27">
        <v>74.56</v>
      </c>
    </row>
    <row r="107" ht="15" customHeight="1" spans="1:9">
      <c r="A107" t="s">
        <v>1075</v>
      </c>
      <c r="B107" t="s">
        <v>585</v>
      </c>
      <c r="C107" t="s">
        <v>414</v>
      </c>
      <c r="D107">
        <v>5</v>
      </c>
      <c r="E107" s="27">
        <v>63.96</v>
      </c>
      <c r="F107" s="28">
        <v>0.1</v>
      </c>
      <c r="G107" s="27">
        <v>287.82</v>
      </c>
      <c r="H107" s="27">
        <v>57.56</v>
      </c>
      <c r="I107" s="27">
        <v>345.38</v>
      </c>
    </row>
    <row r="108" ht="15" customHeight="1" spans="1:9">
      <c r="A108" t="s">
        <v>1076</v>
      </c>
      <c r="B108" t="s">
        <v>585</v>
      </c>
      <c r="C108" t="s">
        <v>425</v>
      </c>
      <c r="D108">
        <v>10</v>
      </c>
      <c r="E108" s="27">
        <v>36.08</v>
      </c>
      <c r="F108" s="28">
        <v>0.1</v>
      </c>
      <c r="G108" s="27">
        <v>324.72</v>
      </c>
      <c r="H108" s="27">
        <v>64.94</v>
      </c>
      <c r="I108" s="27">
        <v>389.66</v>
      </c>
    </row>
    <row r="109" ht="15" customHeight="1" spans="1:9">
      <c r="A109" t="s">
        <v>1077</v>
      </c>
      <c r="B109" t="s">
        <v>585</v>
      </c>
      <c r="C109" t="s">
        <v>435</v>
      </c>
      <c r="D109">
        <v>1</v>
      </c>
      <c r="E109" s="27">
        <v>262.34</v>
      </c>
      <c r="F109" s="28">
        <v>0.15</v>
      </c>
      <c r="G109" s="27">
        <v>222.99</v>
      </c>
      <c r="H109" s="27">
        <v>44.6</v>
      </c>
      <c r="I109" s="27">
        <v>267.59</v>
      </c>
    </row>
    <row r="110" ht="15" customHeight="1" spans="1:9">
      <c r="A110" t="s">
        <v>1078</v>
      </c>
      <c r="B110" t="s">
        <v>585</v>
      </c>
      <c r="C110" t="s">
        <v>398</v>
      </c>
      <c r="D110">
        <v>1</v>
      </c>
      <c r="E110" s="27">
        <v>383.91</v>
      </c>
      <c r="F110" s="28">
        <v>0</v>
      </c>
      <c r="G110" s="27">
        <v>383.91</v>
      </c>
      <c r="H110" s="27">
        <v>76.78</v>
      </c>
      <c r="I110" s="27">
        <v>460.69</v>
      </c>
    </row>
    <row r="111" ht="15" customHeight="1" spans="1:9">
      <c r="A111" t="s">
        <v>1079</v>
      </c>
      <c r="B111" t="s">
        <v>586</v>
      </c>
      <c r="C111" t="s">
        <v>423</v>
      </c>
      <c r="D111">
        <v>1</v>
      </c>
      <c r="E111" s="27">
        <v>46.02</v>
      </c>
      <c r="F111" s="28">
        <v>0</v>
      </c>
      <c r="G111" s="27">
        <v>46.02</v>
      </c>
      <c r="H111" s="27">
        <v>9.2</v>
      </c>
      <c r="I111" s="27">
        <v>55.22</v>
      </c>
    </row>
    <row r="112" ht="15" customHeight="1" spans="1:9">
      <c r="A112" t="s">
        <v>1080</v>
      </c>
      <c r="B112" t="s">
        <v>586</v>
      </c>
      <c r="C112" t="s">
        <v>438</v>
      </c>
      <c r="D112">
        <v>2</v>
      </c>
      <c r="E112" s="27">
        <v>295.97</v>
      </c>
      <c r="F112" s="28">
        <v>0</v>
      </c>
      <c r="G112" s="27">
        <v>591.94</v>
      </c>
      <c r="H112" s="27">
        <v>118.39</v>
      </c>
      <c r="I112" s="27">
        <v>710.33</v>
      </c>
    </row>
    <row r="113" ht="15" customHeight="1" spans="1:9">
      <c r="A113" t="s">
        <v>1081</v>
      </c>
      <c r="B113" t="s">
        <v>586</v>
      </c>
      <c r="C113" t="s">
        <v>442</v>
      </c>
      <c r="D113">
        <v>1</v>
      </c>
      <c r="E113" s="27">
        <v>374.59</v>
      </c>
      <c r="F113" s="28">
        <v>0</v>
      </c>
      <c r="G113" s="27">
        <v>374.59</v>
      </c>
      <c r="H113" s="27">
        <v>74.92</v>
      </c>
      <c r="I113" s="27">
        <v>449.51</v>
      </c>
    </row>
    <row r="114" ht="15" customHeight="1" spans="1:9">
      <c r="A114" t="s">
        <v>1082</v>
      </c>
      <c r="B114" t="s">
        <v>587</v>
      </c>
      <c r="C114" t="s">
        <v>461</v>
      </c>
      <c r="D114">
        <v>1</v>
      </c>
      <c r="E114" s="27">
        <v>59.83</v>
      </c>
      <c r="F114" s="28">
        <v>0.05</v>
      </c>
      <c r="G114" s="27">
        <v>56.84</v>
      </c>
      <c r="H114" s="27">
        <v>11.37</v>
      </c>
      <c r="I114" s="27">
        <v>68.21</v>
      </c>
    </row>
    <row r="115" ht="15" customHeight="1" spans="1:9">
      <c r="A115" t="s">
        <v>1083</v>
      </c>
      <c r="B115" t="s">
        <v>588</v>
      </c>
      <c r="C115" t="s">
        <v>419</v>
      </c>
      <c r="D115">
        <v>2</v>
      </c>
      <c r="E115" s="27">
        <v>100.34</v>
      </c>
      <c r="F115" s="28">
        <v>0.05</v>
      </c>
      <c r="G115" s="27">
        <v>190.65</v>
      </c>
      <c r="H115" s="27">
        <v>38.13</v>
      </c>
      <c r="I115" s="27">
        <v>228.78</v>
      </c>
    </row>
    <row r="116" ht="15" customHeight="1" spans="1:9">
      <c r="A116" t="s">
        <v>1084</v>
      </c>
      <c r="B116" t="s">
        <v>589</v>
      </c>
      <c r="C116" t="s">
        <v>471</v>
      </c>
      <c r="D116">
        <v>2</v>
      </c>
      <c r="E116" s="27">
        <v>35.83</v>
      </c>
      <c r="F116" s="28">
        <v>0</v>
      </c>
      <c r="G116" s="27">
        <v>71.66</v>
      </c>
      <c r="H116" s="27">
        <v>14.33</v>
      </c>
      <c r="I116" s="27">
        <v>85.99</v>
      </c>
    </row>
    <row r="117" ht="15" customHeight="1" spans="1:9">
      <c r="A117" t="s">
        <v>1085</v>
      </c>
      <c r="B117" t="s">
        <v>589</v>
      </c>
      <c r="C117" t="s">
        <v>391</v>
      </c>
      <c r="D117">
        <v>3</v>
      </c>
      <c r="E117" s="27">
        <v>138.13</v>
      </c>
      <c r="F117" s="28">
        <v>0.15</v>
      </c>
      <c r="G117" s="27">
        <v>352.23</v>
      </c>
      <c r="H117" s="27">
        <v>70.45</v>
      </c>
      <c r="I117" s="27">
        <v>422.68</v>
      </c>
    </row>
    <row r="118" ht="15" customHeight="1" spans="1:9">
      <c r="A118" t="s">
        <v>1086</v>
      </c>
      <c r="B118" t="s">
        <v>590</v>
      </c>
      <c r="C118" t="s">
        <v>448</v>
      </c>
      <c r="D118">
        <v>1</v>
      </c>
      <c r="E118" s="27">
        <v>543.43</v>
      </c>
      <c r="F118" s="28">
        <v>0</v>
      </c>
      <c r="G118" s="27">
        <v>543.43</v>
      </c>
      <c r="H118" s="27">
        <v>108.69</v>
      </c>
      <c r="I118" s="27">
        <v>652.12</v>
      </c>
    </row>
    <row r="119" ht="15" customHeight="1" spans="1:9">
      <c r="A119" t="s">
        <v>1087</v>
      </c>
      <c r="B119" t="s">
        <v>590</v>
      </c>
      <c r="C119" t="s">
        <v>463</v>
      </c>
      <c r="D119">
        <v>1</v>
      </c>
      <c r="E119" s="27">
        <v>73.02</v>
      </c>
      <c r="F119" s="28">
        <v>0</v>
      </c>
      <c r="G119" s="27">
        <v>73.02</v>
      </c>
      <c r="H119" s="27">
        <v>14.6</v>
      </c>
      <c r="I119" s="27">
        <v>87.62</v>
      </c>
    </row>
    <row r="120" ht="15" customHeight="1" spans="1:9">
      <c r="A120" t="s">
        <v>1088</v>
      </c>
      <c r="B120" t="s">
        <v>591</v>
      </c>
      <c r="C120" t="s">
        <v>404</v>
      </c>
      <c r="D120">
        <v>8</v>
      </c>
      <c r="E120" s="27">
        <v>30.09</v>
      </c>
      <c r="F120" s="28">
        <v>0</v>
      </c>
      <c r="G120" s="27">
        <v>240.72</v>
      </c>
      <c r="H120" s="27">
        <v>48.14</v>
      </c>
      <c r="I120" s="27">
        <v>288.86</v>
      </c>
    </row>
    <row r="121" ht="15" customHeight="1" spans="1:9">
      <c r="A121" t="s">
        <v>1089</v>
      </c>
      <c r="B121" t="s">
        <v>591</v>
      </c>
      <c r="C121" t="s">
        <v>471</v>
      </c>
      <c r="D121">
        <v>1</v>
      </c>
      <c r="E121" s="27">
        <v>35.83</v>
      </c>
      <c r="F121" s="28">
        <v>0.1</v>
      </c>
      <c r="G121" s="27">
        <v>32.25</v>
      </c>
      <c r="H121" s="27">
        <v>6.45</v>
      </c>
      <c r="I121" s="27">
        <v>38.7</v>
      </c>
    </row>
    <row r="122" ht="15" customHeight="1" spans="1:9">
      <c r="A122" t="s">
        <v>1090</v>
      </c>
      <c r="B122" t="s">
        <v>592</v>
      </c>
      <c r="C122" t="s">
        <v>454</v>
      </c>
      <c r="D122">
        <v>1</v>
      </c>
      <c r="E122" s="27">
        <v>375.86</v>
      </c>
      <c r="F122" s="28">
        <v>0.05</v>
      </c>
      <c r="G122" s="27">
        <v>357.07</v>
      </c>
      <c r="H122" s="27">
        <v>71.41</v>
      </c>
      <c r="I122" s="27">
        <v>428.48</v>
      </c>
    </row>
    <row r="123" ht="15" customHeight="1" spans="1:9">
      <c r="A123" t="s">
        <v>1091</v>
      </c>
      <c r="B123" t="s">
        <v>593</v>
      </c>
      <c r="C123" t="s">
        <v>414</v>
      </c>
      <c r="D123">
        <v>2</v>
      </c>
      <c r="E123" s="27">
        <v>63.96</v>
      </c>
      <c r="F123" s="28">
        <v>0.15</v>
      </c>
      <c r="G123" s="27">
        <v>108.73</v>
      </c>
      <c r="H123" s="27">
        <v>21.75</v>
      </c>
      <c r="I123" s="27">
        <v>130.48</v>
      </c>
    </row>
    <row r="124" ht="15" customHeight="1" spans="1:9">
      <c r="A124" t="s">
        <v>1092</v>
      </c>
      <c r="B124" t="s">
        <v>593</v>
      </c>
      <c r="C124" t="s">
        <v>377</v>
      </c>
      <c r="D124">
        <v>2</v>
      </c>
      <c r="E124" s="27">
        <v>84.94</v>
      </c>
      <c r="F124" s="28">
        <v>0</v>
      </c>
      <c r="G124" s="27">
        <v>169.88</v>
      </c>
      <c r="H124" s="27">
        <v>33.98</v>
      </c>
      <c r="I124" s="27">
        <v>203.86</v>
      </c>
    </row>
    <row r="125" ht="15" customHeight="1" spans="1:9">
      <c r="A125" t="s">
        <v>1093</v>
      </c>
      <c r="B125" t="s">
        <v>593</v>
      </c>
      <c r="C125" t="s">
        <v>412</v>
      </c>
      <c r="D125">
        <v>4</v>
      </c>
      <c r="E125" s="27">
        <v>114.1</v>
      </c>
      <c r="F125" s="28">
        <v>0.15</v>
      </c>
      <c r="G125" s="27">
        <v>387.94</v>
      </c>
      <c r="H125" s="27">
        <v>77.59</v>
      </c>
      <c r="I125" s="27">
        <v>465.53</v>
      </c>
    </row>
    <row r="126" ht="15" customHeight="1" spans="1:9">
      <c r="A126" t="s">
        <v>1094</v>
      </c>
      <c r="B126" t="s">
        <v>594</v>
      </c>
      <c r="C126" t="s">
        <v>404</v>
      </c>
      <c r="D126">
        <v>3</v>
      </c>
      <c r="E126" s="27">
        <v>30.09</v>
      </c>
      <c r="F126" s="28">
        <v>0</v>
      </c>
      <c r="G126" s="27">
        <v>90.27</v>
      </c>
      <c r="H126" s="27">
        <v>18.05</v>
      </c>
      <c r="I126" s="27">
        <v>108.32</v>
      </c>
    </row>
    <row r="127" ht="15" customHeight="1" spans="1:9">
      <c r="A127" t="s">
        <v>1095</v>
      </c>
      <c r="B127" t="s">
        <v>594</v>
      </c>
      <c r="C127" t="s">
        <v>421</v>
      </c>
      <c r="D127">
        <v>2</v>
      </c>
      <c r="E127" s="27">
        <v>78.78</v>
      </c>
      <c r="F127" s="28">
        <v>0</v>
      </c>
      <c r="G127" s="27">
        <v>157.56</v>
      </c>
      <c r="H127" s="27">
        <v>31.51</v>
      </c>
      <c r="I127" s="27">
        <v>189.07</v>
      </c>
    </row>
    <row r="128" ht="15" customHeight="1" spans="1:9">
      <c r="A128" t="s">
        <v>1096</v>
      </c>
      <c r="B128" t="s">
        <v>594</v>
      </c>
      <c r="C128" t="s">
        <v>433</v>
      </c>
      <c r="D128">
        <v>3</v>
      </c>
      <c r="E128" s="27">
        <v>58.14</v>
      </c>
      <c r="F128" s="28">
        <v>0.1</v>
      </c>
      <c r="G128" s="27">
        <v>156.98</v>
      </c>
      <c r="H128" s="27">
        <v>31.4</v>
      </c>
      <c r="I128" s="27">
        <v>188.38</v>
      </c>
    </row>
    <row r="129" ht="15" customHeight="1" spans="1:9">
      <c r="A129" t="s">
        <v>1097</v>
      </c>
      <c r="B129" t="s">
        <v>595</v>
      </c>
      <c r="C129" t="s">
        <v>448</v>
      </c>
      <c r="D129">
        <v>1</v>
      </c>
      <c r="E129" s="27">
        <v>543.43</v>
      </c>
      <c r="F129" s="28">
        <v>0</v>
      </c>
      <c r="G129" s="27">
        <v>543.43</v>
      </c>
      <c r="H129" s="27">
        <v>108.69</v>
      </c>
      <c r="I129" s="27">
        <v>652.12</v>
      </c>
    </row>
    <row r="130" ht="15" customHeight="1" spans="1:9">
      <c r="A130" t="s">
        <v>1098</v>
      </c>
      <c r="B130" t="s">
        <v>595</v>
      </c>
      <c r="C130" t="s">
        <v>459</v>
      </c>
      <c r="D130">
        <v>1</v>
      </c>
      <c r="E130" s="27">
        <v>70.8</v>
      </c>
      <c r="F130" s="28">
        <v>0.05</v>
      </c>
      <c r="G130" s="27">
        <v>67.26</v>
      </c>
      <c r="H130" s="27">
        <v>13.45</v>
      </c>
      <c r="I130" s="27">
        <v>80.71</v>
      </c>
    </row>
    <row r="131" ht="15" customHeight="1" spans="1:9">
      <c r="A131" t="s">
        <v>1099</v>
      </c>
      <c r="B131" t="s">
        <v>595</v>
      </c>
      <c r="C131" t="s">
        <v>463</v>
      </c>
      <c r="D131">
        <v>2</v>
      </c>
      <c r="E131" s="27">
        <v>73.02</v>
      </c>
      <c r="F131" s="28">
        <v>0</v>
      </c>
      <c r="G131" s="27">
        <v>146.04</v>
      </c>
      <c r="H131" s="27">
        <v>29.21</v>
      </c>
      <c r="I131" s="27">
        <v>175.25</v>
      </c>
    </row>
    <row r="132" ht="15" customHeight="1" spans="1:9">
      <c r="A132" t="s">
        <v>1100</v>
      </c>
      <c r="B132" t="s">
        <v>596</v>
      </c>
      <c r="C132" t="s">
        <v>374</v>
      </c>
      <c r="D132">
        <v>3</v>
      </c>
      <c r="E132" s="27">
        <v>251.56</v>
      </c>
      <c r="F132" s="28">
        <v>0.1</v>
      </c>
      <c r="G132" s="27">
        <v>679.21</v>
      </c>
      <c r="H132" s="27">
        <v>135.84</v>
      </c>
      <c r="I132" s="27">
        <v>815.05</v>
      </c>
    </row>
    <row r="133" ht="15" customHeight="1" spans="1:9">
      <c r="A133" t="s">
        <v>1101</v>
      </c>
      <c r="B133" t="s">
        <v>596</v>
      </c>
      <c r="C133" t="s">
        <v>391</v>
      </c>
      <c r="D133">
        <v>1</v>
      </c>
      <c r="E133" s="27">
        <v>138.13</v>
      </c>
      <c r="F133" s="28">
        <v>0</v>
      </c>
      <c r="G133" s="27">
        <v>138.13</v>
      </c>
      <c r="H133" s="27">
        <v>27.63</v>
      </c>
      <c r="I133" s="27">
        <v>165.76</v>
      </c>
    </row>
    <row r="134" ht="15" customHeight="1" spans="1:9">
      <c r="A134" t="s">
        <v>1102</v>
      </c>
      <c r="B134" t="s">
        <v>597</v>
      </c>
      <c r="C134" t="s">
        <v>456</v>
      </c>
      <c r="D134">
        <v>5</v>
      </c>
      <c r="E134" s="27">
        <v>62.13</v>
      </c>
      <c r="F134" s="28">
        <v>0</v>
      </c>
      <c r="G134" s="27">
        <v>310.65</v>
      </c>
      <c r="H134" s="27">
        <v>62.13</v>
      </c>
      <c r="I134" s="27">
        <v>372.78</v>
      </c>
    </row>
    <row r="135" ht="15" customHeight="1" spans="1:9">
      <c r="A135" t="s">
        <v>1103</v>
      </c>
      <c r="B135" t="s">
        <v>598</v>
      </c>
      <c r="C135" t="s">
        <v>454</v>
      </c>
      <c r="D135">
        <v>3</v>
      </c>
      <c r="E135" s="27">
        <v>375.86</v>
      </c>
      <c r="F135" s="28">
        <v>0.1</v>
      </c>
      <c r="G135" s="27">
        <v>1014.82</v>
      </c>
      <c r="H135" s="27">
        <v>202.96</v>
      </c>
      <c r="I135" s="27">
        <v>1217.78</v>
      </c>
    </row>
    <row r="136" ht="15" customHeight="1" spans="1:9">
      <c r="A136" t="s">
        <v>1104</v>
      </c>
      <c r="B136" t="s">
        <v>599</v>
      </c>
      <c r="C136" t="s">
        <v>459</v>
      </c>
      <c r="D136">
        <v>3</v>
      </c>
      <c r="E136" s="27">
        <v>70.8</v>
      </c>
      <c r="F136" s="28">
        <v>0</v>
      </c>
      <c r="G136" s="27">
        <v>212.4</v>
      </c>
      <c r="H136" s="27">
        <v>42.48</v>
      </c>
      <c r="I136" s="27">
        <v>254.88</v>
      </c>
    </row>
    <row r="137" ht="15" customHeight="1" spans="1:9">
      <c r="A137" t="s">
        <v>1105</v>
      </c>
      <c r="B137" t="s">
        <v>600</v>
      </c>
      <c r="C137" t="s">
        <v>444</v>
      </c>
      <c r="D137">
        <v>1</v>
      </c>
      <c r="E137" s="27">
        <v>442.3</v>
      </c>
      <c r="F137" s="28">
        <v>0</v>
      </c>
      <c r="G137" s="27">
        <v>442.3</v>
      </c>
      <c r="H137" s="27">
        <v>88.46</v>
      </c>
      <c r="I137" s="27">
        <v>530.76</v>
      </c>
    </row>
    <row r="138" ht="15" customHeight="1" spans="1:9">
      <c r="A138" t="s">
        <v>1106</v>
      </c>
      <c r="B138" t="s">
        <v>600</v>
      </c>
      <c r="C138" t="s">
        <v>435</v>
      </c>
      <c r="D138">
        <v>1</v>
      </c>
      <c r="E138" s="27">
        <v>262.34</v>
      </c>
      <c r="F138" s="28">
        <v>0.15</v>
      </c>
      <c r="G138" s="27">
        <v>222.99</v>
      </c>
      <c r="H138" s="27">
        <v>44.6</v>
      </c>
      <c r="I138" s="27">
        <v>267.59</v>
      </c>
    </row>
    <row r="139" ht="15" customHeight="1" spans="1:9">
      <c r="A139" t="s">
        <v>1107</v>
      </c>
      <c r="B139" t="s">
        <v>600</v>
      </c>
      <c r="C139" t="s">
        <v>425</v>
      </c>
      <c r="D139">
        <v>1</v>
      </c>
      <c r="E139" s="27">
        <v>36.08</v>
      </c>
      <c r="F139" s="28">
        <v>0</v>
      </c>
      <c r="G139" s="27">
        <v>36.08</v>
      </c>
      <c r="H139" s="27">
        <v>7.22</v>
      </c>
      <c r="I139" s="27">
        <v>43.3</v>
      </c>
    </row>
    <row r="140" ht="15" customHeight="1" spans="1:9">
      <c r="A140" t="s">
        <v>1108</v>
      </c>
      <c r="B140" t="s">
        <v>600</v>
      </c>
      <c r="C140" t="s">
        <v>465</v>
      </c>
      <c r="D140">
        <v>1</v>
      </c>
      <c r="E140" s="27">
        <v>44.16</v>
      </c>
      <c r="F140" s="28">
        <v>0.05</v>
      </c>
      <c r="G140" s="27">
        <v>41.95</v>
      </c>
      <c r="H140" s="27">
        <v>8.39</v>
      </c>
      <c r="I140" s="27">
        <v>50.34</v>
      </c>
    </row>
    <row r="141" ht="15" customHeight="1" spans="1:9">
      <c r="A141" t="s">
        <v>1109</v>
      </c>
      <c r="B141" t="s">
        <v>601</v>
      </c>
      <c r="C141" t="s">
        <v>414</v>
      </c>
      <c r="D141">
        <v>3</v>
      </c>
      <c r="E141" s="27">
        <v>63.96</v>
      </c>
      <c r="F141" s="28">
        <v>0</v>
      </c>
      <c r="G141" s="27">
        <v>191.88</v>
      </c>
      <c r="H141" s="27">
        <v>38.38</v>
      </c>
      <c r="I141" s="27">
        <v>230.26</v>
      </c>
    </row>
    <row r="142" ht="15" customHeight="1" spans="1:9">
      <c r="A142" t="s">
        <v>1110</v>
      </c>
      <c r="B142" t="s">
        <v>601</v>
      </c>
      <c r="C142" t="s">
        <v>425</v>
      </c>
      <c r="D142">
        <v>1</v>
      </c>
      <c r="E142" s="27">
        <v>36.08</v>
      </c>
      <c r="F142" s="28">
        <v>0</v>
      </c>
      <c r="G142" s="27">
        <v>36.08</v>
      </c>
      <c r="H142" s="27">
        <v>7.22</v>
      </c>
      <c r="I142" s="27">
        <v>43.3</v>
      </c>
    </row>
    <row r="143" ht="15" customHeight="1" spans="1:9">
      <c r="A143" t="s">
        <v>1111</v>
      </c>
      <c r="B143" t="s">
        <v>601</v>
      </c>
      <c r="C143" t="s">
        <v>440</v>
      </c>
      <c r="D143">
        <v>2</v>
      </c>
      <c r="E143" s="27">
        <v>391.34</v>
      </c>
      <c r="F143" s="28">
        <v>0</v>
      </c>
      <c r="G143" s="27">
        <v>782.68</v>
      </c>
      <c r="H143" s="27">
        <v>156.54</v>
      </c>
      <c r="I143" s="27">
        <v>939.22</v>
      </c>
    </row>
    <row r="144" ht="15" customHeight="1" spans="1:9">
      <c r="A144" t="s">
        <v>1112</v>
      </c>
      <c r="B144" t="s">
        <v>601</v>
      </c>
      <c r="C144" t="s">
        <v>404</v>
      </c>
      <c r="D144">
        <v>2</v>
      </c>
      <c r="E144" s="27">
        <v>30.09</v>
      </c>
      <c r="F144" s="28">
        <v>0</v>
      </c>
      <c r="G144" s="27">
        <v>60.18</v>
      </c>
      <c r="H144" s="27">
        <v>12.04</v>
      </c>
      <c r="I144" s="27">
        <v>72.22</v>
      </c>
    </row>
    <row r="145" ht="15" customHeight="1" spans="1:9">
      <c r="A145" t="s">
        <v>1113</v>
      </c>
      <c r="B145" t="s">
        <v>602</v>
      </c>
      <c r="C145" t="s">
        <v>393</v>
      </c>
      <c r="D145">
        <v>3</v>
      </c>
      <c r="E145" s="27">
        <v>196.18</v>
      </c>
      <c r="F145" s="28">
        <v>0.1</v>
      </c>
      <c r="G145" s="27">
        <v>529.69</v>
      </c>
      <c r="H145" s="27">
        <v>105.94</v>
      </c>
      <c r="I145" s="27">
        <v>635.63</v>
      </c>
    </row>
    <row r="146" ht="15" customHeight="1" spans="1:9">
      <c r="A146" t="s">
        <v>1114</v>
      </c>
      <c r="B146" t="s">
        <v>603</v>
      </c>
      <c r="C146" t="s">
        <v>438</v>
      </c>
      <c r="D146">
        <v>1</v>
      </c>
      <c r="E146" s="27">
        <v>295.97</v>
      </c>
      <c r="F146" s="28">
        <v>0.05</v>
      </c>
      <c r="G146" s="27">
        <v>281.17</v>
      </c>
      <c r="H146" s="27">
        <v>56.23</v>
      </c>
      <c r="I146" s="27">
        <v>337.4</v>
      </c>
    </row>
    <row r="147" ht="15" customHeight="1" spans="1:9">
      <c r="A147" t="s">
        <v>1115</v>
      </c>
      <c r="B147" t="s">
        <v>603</v>
      </c>
      <c r="C147" t="s">
        <v>440</v>
      </c>
      <c r="D147">
        <v>2</v>
      </c>
      <c r="E147" s="27">
        <v>391.34</v>
      </c>
      <c r="F147" s="28">
        <v>0</v>
      </c>
      <c r="G147" s="27">
        <v>782.68</v>
      </c>
      <c r="H147" s="27">
        <v>156.54</v>
      </c>
      <c r="I147" s="27">
        <v>939.22</v>
      </c>
    </row>
    <row r="148" ht="15" customHeight="1" spans="1:9">
      <c r="A148" t="s">
        <v>1116</v>
      </c>
      <c r="B148" t="s">
        <v>603</v>
      </c>
      <c r="C148" t="s">
        <v>400</v>
      </c>
      <c r="D148">
        <v>2</v>
      </c>
      <c r="E148" s="27">
        <v>328.03</v>
      </c>
      <c r="F148" s="28">
        <v>0</v>
      </c>
      <c r="G148" s="27">
        <v>656.06</v>
      </c>
      <c r="H148" s="27">
        <v>131.21</v>
      </c>
      <c r="I148" s="27">
        <v>787.27</v>
      </c>
    </row>
    <row r="149" ht="15" customHeight="1" spans="1:9">
      <c r="A149" t="s">
        <v>1117</v>
      </c>
      <c r="B149" t="s">
        <v>603</v>
      </c>
      <c r="C149" t="s">
        <v>374</v>
      </c>
      <c r="D149">
        <v>1</v>
      </c>
      <c r="E149" s="27">
        <v>251.56</v>
      </c>
      <c r="F149" s="28">
        <v>0.1</v>
      </c>
      <c r="G149" s="27">
        <v>226.4</v>
      </c>
      <c r="H149" s="27">
        <v>45.28</v>
      </c>
      <c r="I149" s="27">
        <v>271.68</v>
      </c>
    </row>
    <row r="150" ht="15" customHeight="1" spans="1:9">
      <c r="A150" t="s">
        <v>1118</v>
      </c>
      <c r="B150" t="s">
        <v>604</v>
      </c>
      <c r="C150" t="s">
        <v>406</v>
      </c>
      <c r="D150">
        <v>3</v>
      </c>
      <c r="E150" s="27">
        <v>18.86</v>
      </c>
      <c r="F150" s="28">
        <v>0.05</v>
      </c>
      <c r="G150" s="27">
        <v>53.75</v>
      </c>
      <c r="H150" s="27">
        <v>10.75</v>
      </c>
      <c r="I150" s="27">
        <v>64.5</v>
      </c>
    </row>
    <row r="151" ht="15" customHeight="1" spans="1:9">
      <c r="A151" t="s">
        <v>1119</v>
      </c>
      <c r="B151" t="s">
        <v>605</v>
      </c>
      <c r="C151" t="s">
        <v>377</v>
      </c>
      <c r="D151">
        <v>1</v>
      </c>
      <c r="E151" s="27">
        <v>84.94</v>
      </c>
      <c r="F151" s="28">
        <v>0.05</v>
      </c>
      <c r="G151" s="27">
        <v>80.69</v>
      </c>
      <c r="H151" s="27">
        <v>16.14</v>
      </c>
      <c r="I151" s="27">
        <v>96.83</v>
      </c>
    </row>
    <row r="152" ht="15" customHeight="1" spans="1:9">
      <c r="A152" t="s">
        <v>1120</v>
      </c>
      <c r="B152" t="s">
        <v>605</v>
      </c>
      <c r="C152" t="s">
        <v>473</v>
      </c>
      <c r="D152">
        <v>2</v>
      </c>
      <c r="E152" s="27">
        <v>40.73</v>
      </c>
      <c r="F152" s="28">
        <v>0.1</v>
      </c>
      <c r="G152" s="27">
        <v>73.31</v>
      </c>
      <c r="H152" s="27">
        <v>14.66</v>
      </c>
      <c r="I152" s="27">
        <v>87.97</v>
      </c>
    </row>
    <row r="153" ht="15" customHeight="1" spans="1:9">
      <c r="A153" t="s">
        <v>1121</v>
      </c>
      <c r="B153" t="s">
        <v>606</v>
      </c>
      <c r="C153" t="s">
        <v>417</v>
      </c>
      <c r="D153">
        <v>2</v>
      </c>
      <c r="E153" s="27">
        <v>59.79</v>
      </c>
      <c r="F153" s="28">
        <v>0</v>
      </c>
      <c r="G153" s="27">
        <v>119.58</v>
      </c>
      <c r="H153" s="27">
        <v>23.92</v>
      </c>
      <c r="I153" s="27">
        <v>143.5</v>
      </c>
    </row>
    <row r="154" ht="15" customHeight="1" spans="1:9">
      <c r="A154" t="s">
        <v>1122</v>
      </c>
      <c r="B154" t="s">
        <v>606</v>
      </c>
      <c r="C154" t="s">
        <v>473</v>
      </c>
      <c r="D154">
        <v>1</v>
      </c>
      <c r="E154" s="27">
        <v>40.73</v>
      </c>
      <c r="F154" s="28">
        <v>0.1</v>
      </c>
      <c r="G154" s="27">
        <v>36.66</v>
      </c>
      <c r="H154" s="27">
        <v>7.33</v>
      </c>
      <c r="I154" s="27">
        <v>43.99</v>
      </c>
    </row>
    <row r="155" ht="15" customHeight="1" spans="1:9">
      <c r="A155" t="s">
        <v>1123</v>
      </c>
      <c r="B155" t="s">
        <v>606</v>
      </c>
      <c r="C155" t="s">
        <v>440</v>
      </c>
      <c r="D155">
        <v>1</v>
      </c>
      <c r="E155" s="27">
        <v>391.34</v>
      </c>
      <c r="F155" s="28">
        <v>0</v>
      </c>
      <c r="G155" s="27">
        <v>391.34</v>
      </c>
      <c r="H155" s="27">
        <v>78.27</v>
      </c>
      <c r="I155" s="27">
        <v>469.61</v>
      </c>
    </row>
    <row r="156" ht="15" customHeight="1" spans="1:9">
      <c r="A156" t="s">
        <v>1124</v>
      </c>
      <c r="B156" t="s">
        <v>607</v>
      </c>
      <c r="C156" t="s">
        <v>440</v>
      </c>
      <c r="D156">
        <v>1</v>
      </c>
      <c r="E156" s="27">
        <v>391.34</v>
      </c>
      <c r="F156" s="28">
        <v>0.1</v>
      </c>
      <c r="G156" s="27">
        <v>352.21</v>
      </c>
      <c r="H156" s="27">
        <v>70.44</v>
      </c>
      <c r="I156" s="27">
        <v>422.65</v>
      </c>
    </row>
    <row r="157" ht="15" customHeight="1" spans="1:9">
      <c r="A157" t="s">
        <v>1125</v>
      </c>
      <c r="B157" t="s">
        <v>607</v>
      </c>
      <c r="C157" t="s">
        <v>414</v>
      </c>
      <c r="D157">
        <v>1</v>
      </c>
      <c r="E157" s="27">
        <v>63.96</v>
      </c>
      <c r="F157" s="28">
        <v>0.1</v>
      </c>
      <c r="G157" s="27">
        <v>57.56</v>
      </c>
      <c r="H157" s="27">
        <v>11.51</v>
      </c>
      <c r="I157" s="27">
        <v>69.07</v>
      </c>
    </row>
    <row r="158" ht="15" customHeight="1" spans="1:9">
      <c r="A158" t="s">
        <v>1126</v>
      </c>
      <c r="B158" t="s">
        <v>608</v>
      </c>
      <c r="C158" t="s">
        <v>421</v>
      </c>
      <c r="D158">
        <v>1</v>
      </c>
      <c r="E158" s="27">
        <v>78.78</v>
      </c>
      <c r="F158" s="28">
        <v>0</v>
      </c>
      <c r="G158" s="27">
        <v>78.78</v>
      </c>
      <c r="H158" s="27">
        <v>15.76</v>
      </c>
      <c r="I158" s="27">
        <v>94.54</v>
      </c>
    </row>
    <row r="159" ht="15" customHeight="1" spans="1:9">
      <c r="A159" t="s">
        <v>1127</v>
      </c>
      <c r="B159" t="s">
        <v>608</v>
      </c>
      <c r="C159" t="s">
        <v>427</v>
      </c>
      <c r="D159">
        <v>2</v>
      </c>
      <c r="E159" s="27">
        <v>25.25</v>
      </c>
      <c r="F159" s="28">
        <v>0.15</v>
      </c>
      <c r="G159" s="27">
        <v>42.92</v>
      </c>
      <c r="H159" s="27">
        <v>8.58</v>
      </c>
      <c r="I159" s="27">
        <v>51.5</v>
      </c>
    </row>
    <row r="160" ht="15" customHeight="1" spans="1:9">
      <c r="A160" t="s">
        <v>1128</v>
      </c>
      <c r="B160" t="s">
        <v>608</v>
      </c>
      <c r="C160" t="s">
        <v>465</v>
      </c>
      <c r="D160">
        <v>2</v>
      </c>
      <c r="E160" s="27">
        <v>44.16</v>
      </c>
      <c r="F160" s="28">
        <v>0.1</v>
      </c>
      <c r="G160" s="27">
        <v>79.49</v>
      </c>
      <c r="H160" s="27">
        <v>15.9</v>
      </c>
      <c r="I160" s="27">
        <v>95.39</v>
      </c>
    </row>
    <row r="161" ht="15" customHeight="1" spans="1:9">
      <c r="A161" t="s">
        <v>1129</v>
      </c>
      <c r="B161" t="s">
        <v>609</v>
      </c>
      <c r="C161" t="s">
        <v>469</v>
      </c>
      <c r="D161">
        <v>2</v>
      </c>
      <c r="E161" s="27">
        <v>30.71</v>
      </c>
      <c r="F161" s="28">
        <v>0.05</v>
      </c>
      <c r="G161" s="27">
        <v>58.35</v>
      </c>
      <c r="H161" s="27">
        <v>11.67</v>
      </c>
      <c r="I161" s="27">
        <v>70.02</v>
      </c>
    </row>
    <row r="162" ht="15" customHeight="1" spans="1:9">
      <c r="A162" t="s">
        <v>1130</v>
      </c>
      <c r="B162" t="s">
        <v>609</v>
      </c>
      <c r="C162" t="s">
        <v>391</v>
      </c>
      <c r="D162">
        <v>3</v>
      </c>
      <c r="E162" s="27">
        <v>138.13</v>
      </c>
      <c r="F162" s="28">
        <v>0</v>
      </c>
      <c r="G162" s="27">
        <v>414.39</v>
      </c>
      <c r="H162" s="27">
        <v>82.88</v>
      </c>
      <c r="I162" s="27">
        <v>497.27</v>
      </c>
    </row>
    <row r="163" ht="15" customHeight="1" spans="1:9">
      <c r="A163" t="s">
        <v>1131</v>
      </c>
      <c r="B163" t="s">
        <v>610</v>
      </c>
      <c r="C163" t="s">
        <v>465</v>
      </c>
      <c r="D163">
        <v>1</v>
      </c>
      <c r="E163" s="27">
        <v>44.16</v>
      </c>
      <c r="F163" s="28">
        <v>0.1</v>
      </c>
      <c r="G163" s="27">
        <v>39.74</v>
      </c>
      <c r="H163" s="27">
        <v>7.95</v>
      </c>
      <c r="I163" s="27">
        <v>47.69</v>
      </c>
    </row>
    <row r="164" ht="15" customHeight="1" spans="1:9">
      <c r="A164" t="s">
        <v>1132</v>
      </c>
      <c r="B164" t="s">
        <v>611</v>
      </c>
      <c r="C164" t="s">
        <v>435</v>
      </c>
      <c r="D164">
        <v>2</v>
      </c>
      <c r="E164" s="27">
        <v>262.34</v>
      </c>
      <c r="F164" s="28">
        <v>0</v>
      </c>
      <c r="G164" s="27">
        <v>524.68</v>
      </c>
      <c r="H164" s="27">
        <v>104.94</v>
      </c>
      <c r="I164" s="27">
        <v>629.62</v>
      </c>
    </row>
    <row r="165" ht="15" customHeight="1" spans="1:9">
      <c r="A165" t="s">
        <v>1133</v>
      </c>
      <c r="B165" t="s">
        <v>611</v>
      </c>
      <c r="C165" t="s">
        <v>396</v>
      </c>
      <c r="D165">
        <v>2</v>
      </c>
      <c r="E165" s="27">
        <v>225.64</v>
      </c>
      <c r="F165" s="28">
        <v>0.1</v>
      </c>
      <c r="G165" s="27">
        <v>406.15</v>
      </c>
      <c r="H165" s="27">
        <v>81.23</v>
      </c>
      <c r="I165" s="27">
        <v>487.38</v>
      </c>
    </row>
    <row r="166" ht="15" customHeight="1" spans="1:9">
      <c r="A166" t="s">
        <v>1134</v>
      </c>
      <c r="B166" t="s">
        <v>611</v>
      </c>
      <c r="C166" t="s">
        <v>417</v>
      </c>
      <c r="D166">
        <v>2</v>
      </c>
      <c r="E166" s="27">
        <v>59.79</v>
      </c>
      <c r="F166" s="28">
        <v>0.15</v>
      </c>
      <c r="G166" s="27">
        <v>101.64</v>
      </c>
      <c r="H166" s="27">
        <v>20.33</v>
      </c>
      <c r="I166" s="27">
        <v>121.97</v>
      </c>
    </row>
    <row r="167" ht="15" customHeight="1" spans="1:9">
      <c r="A167" t="s">
        <v>1135</v>
      </c>
      <c r="B167" t="s">
        <v>611</v>
      </c>
      <c r="C167" t="s">
        <v>475</v>
      </c>
      <c r="D167">
        <v>4</v>
      </c>
      <c r="E167" s="27">
        <v>42</v>
      </c>
      <c r="F167" s="28">
        <v>0.15</v>
      </c>
      <c r="G167" s="27">
        <v>142.8</v>
      </c>
      <c r="H167" s="27">
        <v>28.56</v>
      </c>
      <c r="I167" s="27">
        <v>171.36</v>
      </c>
    </row>
    <row r="168" ht="15" customHeight="1" spans="1:9">
      <c r="A168" t="s">
        <v>1136</v>
      </c>
      <c r="B168" t="s">
        <v>611</v>
      </c>
      <c r="C168" t="s">
        <v>459</v>
      </c>
      <c r="D168">
        <v>3</v>
      </c>
      <c r="E168" s="27">
        <v>70.8</v>
      </c>
      <c r="F168" s="28">
        <v>0</v>
      </c>
      <c r="G168" s="27">
        <v>212.4</v>
      </c>
      <c r="H168" s="27">
        <v>42.48</v>
      </c>
      <c r="I168" s="27">
        <v>254.88</v>
      </c>
    </row>
    <row r="169" ht="15" customHeight="1" spans="1:9">
      <c r="A169" t="s">
        <v>1137</v>
      </c>
      <c r="B169" t="s">
        <v>612</v>
      </c>
      <c r="C169" t="s">
        <v>412</v>
      </c>
      <c r="D169">
        <v>3</v>
      </c>
      <c r="E169" s="27">
        <v>114.1</v>
      </c>
      <c r="F169" s="28">
        <v>0.15</v>
      </c>
      <c r="G169" s="27">
        <v>290.95</v>
      </c>
      <c r="H169" s="27">
        <v>58.19</v>
      </c>
      <c r="I169" s="27">
        <v>349.14</v>
      </c>
    </row>
    <row r="170" ht="15" customHeight="1" spans="1:9">
      <c r="A170" t="s">
        <v>1138</v>
      </c>
      <c r="B170" t="s">
        <v>612</v>
      </c>
      <c r="C170" t="s">
        <v>400</v>
      </c>
      <c r="D170">
        <v>2</v>
      </c>
      <c r="E170" s="27">
        <v>328.03</v>
      </c>
      <c r="F170" s="28">
        <v>0.05</v>
      </c>
      <c r="G170" s="27">
        <v>623.26</v>
      </c>
      <c r="H170" s="27">
        <v>124.65</v>
      </c>
      <c r="I170" s="27">
        <v>747.91</v>
      </c>
    </row>
    <row r="171" ht="15" customHeight="1" spans="1:9">
      <c r="A171" t="s">
        <v>1139</v>
      </c>
      <c r="B171" t="s">
        <v>612</v>
      </c>
      <c r="C171" t="s">
        <v>414</v>
      </c>
      <c r="D171">
        <v>2</v>
      </c>
      <c r="E171" s="27">
        <v>63.96</v>
      </c>
      <c r="F171" s="28">
        <v>0.1</v>
      </c>
      <c r="G171" s="27">
        <v>115.13</v>
      </c>
      <c r="H171" s="27">
        <v>23.03</v>
      </c>
      <c r="I171" s="27">
        <v>138.16</v>
      </c>
    </row>
    <row r="172" ht="15" customHeight="1" spans="1:9">
      <c r="A172" t="s">
        <v>1140</v>
      </c>
      <c r="B172" t="s">
        <v>612</v>
      </c>
      <c r="C172" t="s">
        <v>469</v>
      </c>
      <c r="D172">
        <v>1</v>
      </c>
      <c r="E172" s="27">
        <v>30.71</v>
      </c>
      <c r="F172" s="28">
        <v>0</v>
      </c>
      <c r="G172" s="27">
        <v>30.71</v>
      </c>
      <c r="H172" s="27">
        <v>6.14</v>
      </c>
      <c r="I172" s="27">
        <v>36.85</v>
      </c>
    </row>
    <row r="173" ht="15" customHeight="1" spans="1:9">
      <c r="A173" t="s">
        <v>1141</v>
      </c>
      <c r="B173" t="s">
        <v>613</v>
      </c>
      <c r="C173" t="s">
        <v>391</v>
      </c>
      <c r="D173">
        <v>1</v>
      </c>
      <c r="E173" s="27">
        <v>138.13</v>
      </c>
      <c r="F173" s="28">
        <v>0</v>
      </c>
      <c r="G173" s="27">
        <v>138.13</v>
      </c>
      <c r="H173" s="27">
        <v>27.63</v>
      </c>
      <c r="I173" s="27">
        <v>165.76</v>
      </c>
    </row>
    <row r="174" ht="15" customHeight="1" spans="1:9">
      <c r="A174" t="s">
        <v>1142</v>
      </c>
      <c r="B174" t="s">
        <v>613</v>
      </c>
      <c r="C174" t="s">
        <v>467</v>
      </c>
      <c r="D174">
        <v>1</v>
      </c>
      <c r="E174" s="27">
        <v>49.53</v>
      </c>
      <c r="F174" s="28">
        <v>0.05</v>
      </c>
      <c r="G174" s="27">
        <v>47.05</v>
      </c>
      <c r="H174" s="27">
        <v>9.41</v>
      </c>
      <c r="I174" s="27">
        <v>56.46</v>
      </c>
    </row>
    <row r="175" ht="15" customHeight="1" spans="1:9">
      <c r="A175" t="s">
        <v>1143</v>
      </c>
      <c r="B175" t="s">
        <v>613</v>
      </c>
      <c r="C175" t="s">
        <v>459</v>
      </c>
      <c r="D175">
        <v>1</v>
      </c>
      <c r="E175" s="27">
        <v>70.8</v>
      </c>
      <c r="F175" s="28">
        <v>0.05</v>
      </c>
      <c r="G175" s="27">
        <v>67.26</v>
      </c>
      <c r="H175" s="27">
        <v>13.45</v>
      </c>
      <c r="I175" s="27">
        <v>80.71</v>
      </c>
    </row>
    <row r="176" ht="15" customHeight="1" spans="1:9">
      <c r="A176" t="s">
        <v>1144</v>
      </c>
      <c r="B176" t="s">
        <v>613</v>
      </c>
      <c r="C176" t="s">
        <v>400</v>
      </c>
      <c r="D176">
        <v>1</v>
      </c>
      <c r="E176" s="27">
        <v>328.03</v>
      </c>
      <c r="F176" s="28">
        <v>0.1</v>
      </c>
      <c r="G176" s="27">
        <v>295.23</v>
      </c>
      <c r="H176" s="27">
        <v>59.05</v>
      </c>
      <c r="I176" s="27">
        <v>354.28</v>
      </c>
    </row>
    <row r="177" ht="15" customHeight="1" spans="1:9">
      <c r="A177" t="s">
        <v>1145</v>
      </c>
      <c r="B177" t="s">
        <v>613</v>
      </c>
      <c r="C177" t="s">
        <v>408</v>
      </c>
      <c r="D177">
        <v>5</v>
      </c>
      <c r="E177" s="27">
        <v>19.65</v>
      </c>
      <c r="F177" s="28">
        <v>0.15</v>
      </c>
      <c r="G177" s="27">
        <v>83.51</v>
      </c>
      <c r="H177" s="27">
        <v>16.7</v>
      </c>
      <c r="I177" s="27">
        <v>100.21</v>
      </c>
    </row>
    <row r="178" ht="15" customHeight="1" spans="1:9">
      <c r="A178" t="s">
        <v>1146</v>
      </c>
      <c r="B178" t="s">
        <v>614</v>
      </c>
      <c r="C178" t="s">
        <v>427</v>
      </c>
      <c r="D178">
        <v>1</v>
      </c>
      <c r="E178" s="27">
        <v>25.25</v>
      </c>
      <c r="F178" s="28">
        <v>0.05</v>
      </c>
      <c r="G178" s="27">
        <v>23.99</v>
      </c>
      <c r="H178" s="27">
        <v>4.8</v>
      </c>
      <c r="I178" s="27">
        <v>28.79</v>
      </c>
    </row>
    <row r="179" ht="15" customHeight="1" spans="1:9">
      <c r="A179" t="s">
        <v>1147</v>
      </c>
      <c r="B179" t="s">
        <v>615</v>
      </c>
      <c r="C179" t="s">
        <v>435</v>
      </c>
      <c r="D179">
        <v>2</v>
      </c>
      <c r="E179" s="27">
        <v>262.34</v>
      </c>
      <c r="F179" s="28">
        <v>0</v>
      </c>
      <c r="G179" s="27">
        <v>524.68</v>
      </c>
      <c r="H179" s="27">
        <v>104.94</v>
      </c>
      <c r="I179" s="27">
        <v>629.62</v>
      </c>
    </row>
    <row r="180" ht="15" customHeight="1" spans="1:9">
      <c r="A180" t="s">
        <v>1148</v>
      </c>
      <c r="B180" t="s">
        <v>615</v>
      </c>
      <c r="C180" t="s">
        <v>473</v>
      </c>
      <c r="D180">
        <v>8</v>
      </c>
      <c r="E180" s="27">
        <v>40.73</v>
      </c>
      <c r="F180" s="28">
        <v>0</v>
      </c>
      <c r="G180" s="27">
        <v>325.84</v>
      </c>
      <c r="H180" s="27">
        <v>65.17</v>
      </c>
      <c r="I180" s="27">
        <v>391.01</v>
      </c>
    </row>
    <row r="181" ht="15" customHeight="1" spans="1:9">
      <c r="A181" t="s">
        <v>1149</v>
      </c>
      <c r="B181" t="s">
        <v>615</v>
      </c>
      <c r="C181" t="s">
        <v>410</v>
      </c>
      <c r="D181">
        <v>2</v>
      </c>
      <c r="E181" s="27">
        <v>106.93</v>
      </c>
      <c r="F181" s="28">
        <v>0</v>
      </c>
      <c r="G181" s="27">
        <v>213.86</v>
      </c>
      <c r="H181" s="27">
        <v>42.77</v>
      </c>
      <c r="I181" s="27">
        <v>256.63</v>
      </c>
    </row>
    <row r="182" ht="15" customHeight="1" spans="1:9">
      <c r="A182" t="s">
        <v>1150</v>
      </c>
      <c r="B182" t="s">
        <v>616</v>
      </c>
      <c r="C182" t="s">
        <v>396</v>
      </c>
      <c r="D182">
        <v>5</v>
      </c>
      <c r="E182" s="27">
        <v>225.64</v>
      </c>
      <c r="F182" s="28">
        <v>0</v>
      </c>
      <c r="G182" s="27">
        <v>1128.2</v>
      </c>
      <c r="H182" s="27">
        <v>225.64</v>
      </c>
      <c r="I182" s="27">
        <v>1353.84</v>
      </c>
    </row>
    <row r="183" ht="15" customHeight="1" spans="1:9">
      <c r="A183" t="s">
        <v>1151</v>
      </c>
      <c r="B183" t="s">
        <v>616</v>
      </c>
      <c r="C183" t="s">
        <v>425</v>
      </c>
      <c r="D183">
        <v>3</v>
      </c>
      <c r="E183" s="27">
        <v>36.08</v>
      </c>
      <c r="F183" s="28">
        <v>0</v>
      </c>
      <c r="G183" s="27">
        <v>108.24</v>
      </c>
      <c r="H183" s="27">
        <v>21.65</v>
      </c>
      <c r="I183" s="27">
        <v>129.89</v>
      </c>
    </row>
    <row r="184" ht="15" customHeight="1" spans="1:9">
      <c r="A184" t="s">
        <v>1152</v>
      </c>
      <c r="B184" t="s">
        <v>616</v>
      </c>
      <c r="C184" t="s">
        <v>471</v>
      </c>
      <c r="D184">
        <v>8</v>
      </c>
      <c r="E184" s="27">
        <v>35.83</v>
      </c>
      <c r="F184" s="28">
        <v>0</v>
      </c>
      <c r="G184" s="27">
        <v>286.64</v>
      </c>
      <c r="H184" s="27">
        <v>57.33</v>
      </c>
      <c r="I184" s="27">
        <v>343.97</v>
      </c>
    </row>
    <row r="185" ht="15" customHeight="1" spans="1:9">
      <c r="A185" t="s">
        <v>1153</v>
      </c>
      <c r="B185" t="s">
        <v>616</v>
      </c>
      <c r="C185" t="s">
        <v>372</v>
      </c>
      <c r="D185">
        <v>1</v>
      </c>
      <c r="E185" s="27">
        <v>216.77</v>
      </c>
      <c r="F185" s="28">
        <v>0.1</v>
      </c>
      <c r="G185" s="27">
        <v>195.09</v>
      </c>
      <c r="H185" s="27">
        <v>39.02</v>
      </c>
      <c r="I185" s="27">
        <v>234.11</v>
      </c>
    </row>
    <row r="186" ht="15" customHeight="1" spans="1:9">
      <c r="A186" t="s">
        <v>1154</v>
      </c>
      <c r="B186" t="s">
        <v>617</v>
      </c>
      <c r="C186" t="s">
        <v>433</v>
      </c>
      <c r="D186">
        <v>1</v>
      </c>
      <c r="E186" s="27">
        <v>58.14</v>
      </c>
      <c r="F186" s="28">
        <v>0</v>
      </c>
      <c r="G186" s="27">
        <v>58.14</v>
      </c>
      <c r="H186" s="27">
        <v>11.63</v>
      </c>
      <c r="I186" s="27">
        <v>69.77</v>
      </c>
    </row>
    <row r="187" ht="15" customHeight="1" spans="1:9">
      <c r="A187" t="s">
        <v>1155</v>
      </c>
      <c r="B187" t="s">
        <v>617</v>
      </c>
      <c r="C187" t="s">
        <v>417</v>
      </c>
      <c r="D187">
        <v>1</v>
      </c>
      <c r="E187" s="27">
        <v>59.79</v>
      </c>
      <c r="F187" s="28">
        <v>0.05</v>
      </c>
      <c r="G187" s="27">
        <v>56.8</v>
      </c>
      <c r="H187" s="27">
        <v>11.36</v>
      </c>
      <c r="I187" s="27">
        <v>68.16</v>
      </c>
    </row>
    <row r="188" ht="15" customHeight="1" spans="1:9">
      <c r="A188" t="s">
        <v>1156</v>
      </c>
      <c r="B188" t="s">
        <v>617</v>
      </c>
      <c r="C188" t="s">
        <v>459</v>
      </c>
      <c r="D188">
        <v>1</v>
      </c>
      <c r="E188" s="27">
        <v>70.8</v>
      </c>
      <c r="F188" s="28">
        <v>0</v>
      </c>
      <c r="G188" s="27">
        <v>70.8</v>
      </c>
      <c r="H188" s="27">
        <v>14.16</v>
      </c>
      <c r="I188" s="27">
        <v>84.96</v>
      </c>
    </row>
    <row r="189" ht="15" customHeight="1" spans="1:9">
      <c r="A189" t="s">
        <v>1157</v>
      </c>
      <c r="B189" t="s">
        <v>617</v>
      </c>
      <c r="C189" t="s">
        <v>366</v>
      </c>
      <c r="D189">
        <v>3</v>
      </c>
      <c r="E189" s="27">
        <v>1103.64</v>
      </c>
      <c r="F189" s="28">
        <v>0</v>
      </c>
      <c r="G189" s="27">
        <v>3310.92</v>
      </c>
      <c r="H189" s="27">
        <v>662.18</v>
      </c>
      <c r="I189" s="27">
        <v>3973.1</v>
      </c>
    </row>
    <row r="190" ht="15" customHeight="1" spans="1:9">
      <c r="A190" t="s">
        <v>1158</v>
      </c>
      <c r="B190" t="s">
        <v>618</v>
      </c>
      <c r="C190" t="s">
        <v>380</v>
      </c>
      <c r="D190">
        <v>1</v>
      </c>
      <c r="E190" s="27">
        <v>80.3</v>
      </c>
      <c r="F190" s="28">
        <v>0</v>
      </c>
      <c r="G190" s="27">
        <v>80.3</v>
      </c>
      <c r="H190" s="27">
        <v>16.06</v>
      </c>
      <c r="I190" s="27">
        <v>96.36</v>
      </c>
    </row>
    <row r="191" ht="15" customHeight="1" spans="1:9">
      <c r="A191" t="s">
        <v>1159</v>
      </c>
      <c r="B191" t="s">
        <v>618</v>
      </c>
      <c r="C191" t="s">
        <v>396</v>
      </c>
      <c r="D191">
        <v>10</v>
      </c>
      <c r="E191" s="27">
        <v>225.64</v>
      </c>
      <c r="F191" s="28">
        <v>0.05</v>
      </c>
      <c r="G191" s="27">
        <v>2143.58</v>
      </c>
      <c r="H191" s="27">
        <v>428.72</v>
      </c>
      <c r="I191" s="27">
        <v>2572.3</v>
      </c>
    </row>
    <row r="192" ht="15" customHeight="1" spans="1:9">
      <c r="A192" t="s">
        <v>1160</v>
      </c>
      <c r="B192" t="s">
        <v>619</v>
      </c>
      <c r="C192" t="s">
        <v>417</v>
      </c>
      <c r="D192">
        <v>1</v>
      </c>
      <c r="E192" s="27">
        <v>59.79</v>
      </c>
      <c r="F192" s="28">
        <v>0.15</v>
      </c>
      <c r="G192" s="27">
        <v>50.82</v>
      </c>
      <c r="H192" s="27">
        <v>10.16</v>
      </c>
      <c r="I192" s="27">
        <v>60.98</v>
      </c>
    </row>
    <row r="193" ht="15" customHeight="1" spans="1:9">
      <c r="A193" t="s">
        <v>1161</v>
      </c>
      <c r="B193" t="s">
        <v>619</v>
      </c>
      <c r="C193" t="s">
        <v>448</v>
      </c>
      <c r="D193">
        <v>1</v>
      </c>
      <c r="E193" s="27">
        <v>543.43</v>
      </c>
      <c r="F193" s="28">
        <v>0.15</v>
      </c>
      <c r="G193" s="27">
        <v>461.92</v>
      </c>
      <c r="H193" s="27">
        <v>92.38</v>
      </c>
      <c r="I193" s="27">
        <v>554.3</v>
      </c>
    </row>
    <row r="194" ht="15" customHeight="1" spans="1:9">
      <c r="A194" t="s">
        <v>1162</v>
      </c>
      <c r="B194" t="s">
        <v>619</v>
      </c>
      <c r="C194" t="s">
        <v>421</v>
      </c>
      <c r="D194">
        <v>2</v>
      </c>
      <c r="E194" s="27">
        <v>78.78</v>
      </c>
      <c r="F194" s="28">
        <v>0</v>
      </c>
      <c r="G194" s="27">
        <v>157.56</v>
      </c>
      <c r="H194" s="27">
        <v>31.51</v>
      </c>
      <c r="I194" s="27">
        <v>189.07</v>
      </c>
    </row>
    <row r="195" ht="15" customHeight="1" spans="1:9">
      <c r="A195" t="s">
        <v>1163</v>
      </c>
      <c r="B195" t="s">
        <v>620</v>
      </c>
      <c r="C195" t="s">
        <v>410</v>
      </c>
      <c r="D195">
        <v>1</v>
      </c>
      <c r="E195" s="27">
        <v>106.93</v>
      </c>
      <c r="F195" s="28">
        <v>0</v>
      </c>
      <c r="G195" s="27">
        <v>106.93</v>
      </c>
      <c r="H195" s="27">
        <v>21.39</v>
      </c>
      <c r="I195" s="27">
        <v>128.32</v>
      </c>
    </row>
    <row r="196" ht="15" customHeight="1" spans="1:9">
      <c r="A196" t="s">
        <v>1164</v>
      </c>
      <c r="B196" t="s">
        <v>620</v>
      </c>
      <c r="C196" t="s">
        <v>402</v>
      </c>
      <c r="D196">
        <v>5</v>
      </c>
      <c r="E196" s="27">
        <v>26.57</v>
      </c>
      <c r="F196" s="28">
        <v>0.05</v>
      </c>
      <c r="G196" s="27">
        <v>126.21</v>
      </c>
      <c r="H196" s="27">
        <v>25.24</v>
      </c>
      <c r="I196" s="27">
        <v>151.45</v>
      </c>
    </row>
    <row r="197" ht="15" customHeight="1" spans="1:9">
      <c r="A197" t="s">
        <v>1165</v>
      </c>
      <c r="B197" t="s">
        <v>621</v>
      </c>
      <c r="C197" t="s">
        <v>463</v>
      </c>
      <c r="D197">
        <v>3</v>
      </c>
      <c r="E197" s="27">
        <v>73.02</v>
      </c>
      <c r="F197" s="28">
        <v>0</v>
      </c>
      <c r="G197" s="27">
        <v>219.06</v>
      </c>
      <c r="H197" s="27">
        <v>43.81</v>
      </c>
      <c r="I197" s="27">
        <v>262.87</v>
      </c>
    </row>
    <row r="198" ht="15" customHeight="1" spans="1:9">
      <c r="A198" t="s">
        <v>1166</v>
      </c>
      <c r="B198" t="s">
        <v>621</v>
      </c>
      <c r="C198" t="s">
        <v>442</v>
      </c>
      <c r="D198">
        <v>1</v>
      </c>
      <c r="E198" s="27">
        <v>374.59</v>
      </c>
      <c r="F198" s="28">
        <v>0.15</v>
      </c>
      <c r="G198" s="27">
        <v>318.4</v>
      </c>
      <c r="H198" s="27">
        <v>63.68</v>
      </c>
      <c r="I198" s="27">
        <v>382.08</v>
      </c>
    </row>
    <row r="199" ht="15" customHeight="1" spans="1:9">
      <c r="A199" t="s">
        <v>1167</v>
      </c>
      <c r="B199" t="s">
        <v>621</v>
      </c>
      <c r="C199" t="s">
        <v>421</v>
      </c>
      <c r="D199">
        <v>1</v>
      </c>
      <c r="E199" s="27">
        <v>78.78</v>
      </c>
      <c r="F199" s="28">
        <v>0.1</v>
      </c>
      <c r="G199" s="27">
        <v>70.9</v>
      </c>
      <c r="H199" s="27">
        <v>14.18</v>
      </c>
      <c r="I199" s="27">
        <v>85.08</v>
      </c>
    </row>
    <row r="200" ht="15" customHeight="1" spans="1:9">
      <c r="A200" t="s">
        <v>1168</v>
      </c>
      <c r="B200" t="s">
        <v>622</v>
      </c>
      <c r="C200" t="s">
        <v>442</v>
      </c>
      <c r="D200">
        <v>1</v>
      </c>
      <c r="E200" s="27">
        <v>374.59</v>
      </c>
      <c r="F200" s="28">
        <v>0.15</v>
      </c>
      <c r="G200" s="27">
        <v>318.4</v>
      </c>
      <c r="H200" s="27">
        <v>63.68</v>
      </c>
      <c r="I200" s="27">
        <v>382.08</v>
      </c>
    </row>
    <row r="201" ht="15" customHeight="1" spans="1:9">
      <c r="A201" t="s">
        <v>1169</v>
      </c>
      <c r="B201" t="s">
        <v>622</v>
      </c>
      <c r="C201" t="s">
        <v>400</v>
      </c>
      <c r="D201">
        <v>3</v>
      </c>
      <c r="E201" s="27">
        <v>328.03</v>
      </c>
      <c r="F201" s="28">
        <v>0.05</v>
      </c>
      <c r="G201" s="27">
        <v>934.89</v>
      </c>
      <c r="H201" s="27">
        <v>186.98</v>
      </c>
      <c r="I201" s="27">
        <v>1121.87</v>
      </c>
    </row>
    <row r="202" ht="15" customHeight="1" spans="1:9">
      <c r="A202" t="s">
        <v>1170</v>
      </c>
      <c r="B202" t="s">
        <v>623</v>
      </c>
      <c r="C202" t="s">
        <v>433</v>
      </c>
      <c r="D202">
        <v>2</v>
      </c>
      <c r="E202" s="27">
        <v>58.14</v>
      </c>
      <c r="F202" s="28">
        <v>0.1</v>
      </c>
      <c r="G202" s="27">
        <v>104.65</v>
      </c>
      <c r="H202" s="27">
        <v>20.93</v>
      </c>
      <c r="I202" s="27">
        <v>125.58</v>
      </c>
    </row>
    <row r="203" ht="15" customHeight="1" spans="1:9">
      <c r="A203" t="s">
        <v>1171</v>
      </c>
      <c r="B203" t="s">
        <v>623</v>
      </c>
      <c r="C203" t="s">
        <v>433</v>
      </c>
      <c r="D203">
        <v>2</v>
      </c>
      <c r="E203" s="27">
        <v>58.14</v>
      </c>
      <c r="F203" s="28">
        <v>0</v>
      </c>
      <c r="G203" s="27">
        <v>116.28</v>
      </c>
      <c r="H203" s="27">
        <v>23.26</v>
      </c>
      <c r="I203" s="27">
        <v>139.54</v>
      </c>
    </row>
    <row r="204" ht="15" customHeight="1" spans="1:9">
      <c r="A204" t="s">
        <v>1172</v>
      </c>
      <c r="B204" t="s">
        <v>624</v>
      </c>
      <c r="C204" t="s">
        <v>465</v>
      </c>
      <c r="D204">
        <v>1</v>
      </c>
      <c r="E204" s="27">
        <v>44.16</v>
      </c>
      <c r="F204" s="28">
        <v>0</v>
      </c>
      <c r="G204" s="27">
        <v>44.16</v>
      </c>
      <c r="H204" s="27">
        <v>8.83</v>
      </c>
      <c r="I204" s="27">
        <v>52.99</v>
      </c>
    </row>
    <row r="205" ht="15" customHeight="1" spans="1:9">
      <c r="A205" t="s">
        <v>1173</v>
      </c>
      <c r="B205" t="s">
        <v>624</v>
      </c>
      <c r="C205" t="s">
        <v>377</v>
      </c>
      <c r="D205">
        <v>10</v>
      </c>
      <c r="E205" s="27">
        <v>84.94</v>
      </c>
      <c r="F205" s="28">
        <v>0.05</v>
      </c>
      <c r="G205" s="27">
        <v>806.93</v>
      </c>
      <c r="H205" s="27">
        <v>161.39</v>
      </c>
      <c r="I205" s="27">
        <v>968.32</v>
      </c>
    </row>
    <row r="206" ht="15" customHeight="1" spans="1:9">
      <c r="A206" t="s">
        <v>1174</v>
      </c>
      <c r="B206" t="s">
        <v>625</v>
      </c>
      <c r="C206" t="s">
        <v>423</v>
      </c>
      <c r="D206">
        <v>1</v>
      </c>
      <c r="E206" s="27">
        <v>46.02</v>
      </c>
      <c r="F206" s="28">
        <v>0.05</v>
      </c>
      <c r="G206" s="27">
        <v>43.72</v>
      </c>
      <c r="H206" s="27">
        <v>8.74</v>
      </c>
      <c r="I206" s="27">
        <v>52.46</v>
      </c>
    </row>
    <row r="207" ht="15" customHeight="1" spans="1:9">
      <c r="A207" t="s">
        <v>1175</v>
      </c>
      <c r="B207" t="s">
        <v>625</v>
      </c>
      <c r="C207" t="s">
        <v>423</v>
      </c>
      <c r="D207">
        <v>1</v>
      </c>
      <c r="E207" s="27">
        <v>46.02</v>
      </c>
      <c r="F207" s="28">
        <v>0.15</v>
      </c>
      <c r="G207" s="27">
        <v>39.12</v>
      </c>
      <c r="H207" s="27">
        <v>7.82</v>
      </c>
      <c r="I207" s="27">
        <v>46.94</v>
      </c>
    </row>
    <row r="208" ht="15" customHeight="1" spans="1:9">
      <c r="A208" t="s">
        <v>1176</v>
      </c>
      <c r="B208" t="s">
        <v>625</v>
      </c>
      <c r="C208" t="s">
        <v>444</v>
      </c>
      <c r="D208">
        <v>1</v>
      </c>
      <c r="E208" s="27">
        <v>442.3</v>
      </c>
      <c r="F208" s="28">
        <v>0</v>
      </c>
      <c r="G208" s="27">
        <v>442.3</v>
      </c>
      <c r="H208" s="27">
        <v>88.46</v>
      </c>
      <c r="I208" s="27">
        <v>530.76</v>
      </c>
    </row>
    <row r="209" ht="15" customHeight="1" spans="1:9">
      <c r="A209" t="s">
        <v>1177</v>
      </c>
      <c r="B209" t="s">
        <v>625</v>
      </c>
      <c r="C209" t="s">
        <v>387</v>
      </c>
      <c r="D209">
        <v>1</v>
      </c>
      <c r="E209" s="27">
        <v>37.91</v>
      </c>
      <c r="F209" s="28">
        <v>0.1</v>
      </c>
      <c r="G209" s="27">
        <v>34.12</v>
      </c>
      <c r="H209" s="27">
        <v>6.82</v>
      </c>
      <c r="I209" s="27">
        <v>40.94</v>
      </c>
    </row>
    <row r="210" ht="15" customHeight="1" spans="1:9">
      <c r="A210" t="s">
        <v>1178</v>
      </c>
      <c r="B210" t="s">
        <v>625</v>
      </c>
      <c r="C210" t="s">
        <v>425</v>
      </c>
      <c r="D210">
        <v>2</v>
      </c>
      <c r="E210" s="27">
        <v>36.08</v>
      </c>
      <c r="F210" s="28">
        <v>0.15</v>
      </c>
      <c r="G210" s="27">
        <v>61.34</v>
      </c>
      <c r="H210" s="27">
        <v>12.27</v>
      </c>
      <c r="I210" s="27">
        <v>73.61</v>
      </c>
    </row>
    <row r="211" ht="15" customHeight="1" spans="1:9">
      <c r="A211" t="s">
        <v>1179</v>
      </c>
      <c r="B211" t="s">
        <v>626</v>
      </c>
      <c r="C211" t="s">
        <v>402</v>
      </c>
      <c r="D211">
        <v>1</v>
      </c>
      <c r="E211" s="27">
        <v>26.57</v>
      </c>
      <c r="F211" s="28">
        <v>0</v>
      </c>
      <c r="G211" s="27">
        <v>26.57</v>
      </c>
      <c r="H211" s="27">
        <v>5.31</v>
      </c>
      <c r="I211" s="27">
        <v>31.88</v>
      </c>
    </row>
    <row r="212" ht="15" customHeight="1" spans="1:9">
      <c r="A212" t="s">
        <v>1180</v>
      </c>
      <c r="B212" t="s">
        <v>626</v>
      </c>
      <c r="C212" t="s">
        <v>391</v>
      </c>
      <c r="D212">
        <v>1</v>
      </c>
      <c r="E212" s="27">
        <v>138.13</v>
      </c>
      <c r="F212" s="28">
        <v>0.15</v>
      </c>
      <c r="G212" s="27">
        <v>117.41</v>
      </c>
      <c r="H212" s="27">
        <v>23.48</v>
      </c>
      <c r="I212" s="27">
        <v>140.89</v>
      </c>
    </row>
    <row r="213" ht="15" customHeight="1" spans="1:9">
      <c r="A213" t="s">
        <v>1181</v>
      </c>
      <c r="B213" t="s">
        <v>627</v>
      </c>
      <c r="C213" t="s">
        <v>431</v>
      </c>
      <c r="D213">
        <v>2</v>
      </c>
      <c r="E213" s="27">
        <v>47.74</v>
      </c>
      <c r="F213" s="28">
        <v>0.15</v>
      </c>
      <c r="G213" s="27">
        <v>81.16</v>
      </c>
      <c r="H213" s="27">
        <v>16.23</v>
      </c>
      <c r="I213" s="27">
        <v>97.39</v>
      </c>
    </row>
    <row r="214" ht="15" customHeight="1" spans="1:9">
      <c r="A214" t="s">
        <v>1182</v>
      </c>
      <c r="B214" t="s">
        <v>627</v>
      </c>
      <c r="C214" t="s">
        <v>374</v>
      </c>
      <c r="D214">
        <v>1</v>
      </c>
      <c r="E214" s="27">
        <v>251.56</v>
      </c>
      <c r="F214" s="28">
        <v>0</v>
      </c>
      <c r="G214" s="27">
        <v>251.56</v>
      </c>
      <c r="H214" s="27">
        <v>50.31</v>
      </c>
      <c r="I214" s="27">
        <v>301.87</v>
      </c>
    </row>
    <row r="215" ht="15" customHeight="1" spans="1:9">
      <c r="A215" t="s">
        <v>1183</v>
      </c>
      <c r="B215" t="s">
        <v>628</v>
      </c>
      <c r="C215" t="s">
        <v>410</v>
      </c>
      <c r="D215">
        <v>1</v>
      </c>
      <c r="E215" s="27">
        <v>106.93</v>
      </c>
      <c r="F215" s="28">
        <v>0.15</v>
      </c>
      <c r="G215" s="27">
        <v>90.89</v>
      </c>
      <c r="H215" s="27">
        <v>18.18</v>
      </c>
      <c r="I215" s="27">
        <v>109.07</v>
      </c>
    </row>
    <row r="216" ht="15" customHeight="1" spans="1:9">
      <c r="A216" t="s">
        <v>1184</v>
      </c>
      <c r="B216" t="s">
        <v>628</v>
      </c>
      <c r="C216" t="s">
        <v>448</v>
      </c>
      <c r="D216">
        <v>1</v>
      </c>
      <c r="E216" s="27">
        <v>543.43</v>
      </c>
      <c r="F216" s="28">
        <v>0.1</v>
      </c>
      <c r="G216" s="27">
        <v>489.09</v>
      </c>
      <c r="H216" s="27">
        <v>97.82</v>
      </c>
      <c r="I216" s="27">
        <v>586.91</v>
      </c>
    </row>
    <row r="217" ht="15" customHeight="1" spans="1:9">
      <c r="A217" t="s">
        <v>1185</v>
      </c>
      <c r="B217" t="s">
        <v>629</v>
      </c>
      <c r="C217" t="s">
        <v>408</v>
      </c>
      <c r="D217">
        <v>1</v>
      </c>
      <c r="E217" s="27">
        <v>19.65</v>
      </c>
      <c r="F217" s="28">
        <v>0.1</v>
      </c>
      <c r="G217" s="27">
        <v>17.68</v>
      </c>
      <c r="H217" s="27">
        <v>3.54</v>
      </c>
      <c r="I217" s="27">
        <v>21.22</v>
      </c>
    </row>
    <row r="218" ht="15" customHeight="1" spans="1:9">
      <c r="A218" t="s">
        <v>1186</v>
      </c>
      <c r="B218" t="s">
        <v>629</v>
      </c>
      <c r="C218" t="s">
        <v>471</v>
      </c>
      <c r="D218">
        <v>4</v>
      </c>
      <c r="E218" s="27">
        <v>35.83</v>
      </c>
      <c r="F218" s="28">
        <v>0.15</v>
      </c>
      <c r="G218" s="27">
        <v>121.82</v>
      </c>
      <c r="H218" s="27">
        <v>24.36</v>
      </c>
      <c r="I218" s="27">
        <v>146.18</v>
      </c>
    </row>
    <row r="219" ht="15" customHeight="1" spans="1:9">
      <c r="A219" t="s">
        <v>1187</v>
      </c>
      <c r="B219" t="s">
        <v>630</v>
      </c>
      <c r="C219" t="s">
        <v>414</v>
      </c>
      <c r="D219">
        <v>2</v>
      </c>
      <c r="E219" s="27">
        <v>63.96</v>
      </c>
      <c r="F219" s="28">
        <v>0.05</v>
      </c>
      <c r="G219" s="27">
        <v>121.52</v>
      </c>
      <c r="H219" s="27">
        <v>24.3</v>
      </c>
      <c r="I219" s="27">
        <v>145.82</v>
      </c>
    </row>
    <row r="220" ht="15" customHeight="1" spans="1:9">
      <c r="A220" t="s">
        <v>1188</v>
      </c>
      <c r="B220" t="s">
        <v>630</v>
      </c>
      <c r="C220" t="s">
        <v>391</v>
      </c>
      <c r="D220">
        <v>1</v>
      </c>
      <c r="E220" s="27">
        <v>138.13</v>
      </c>
      <c r="F220" s="28">
        <v>0</v>
      </c>
      <c r="G220" s="27">
        <v>138.13</v>
      </c>
      <c r="H220" s="27">
        <v>27.63</v>
      </c>
      <c r="I220" s="27">
        <v>165.76</v>
      </c>
    </row>
    <row r="221" ht="15" customHeight="1" spans="1:9">
      <c r="A221" t="s">
        <v>1189</v>
      </c>
      <c r="B221" t="s">
        <v>630</v>
      </c>
      <c r="C221" t="s">
        <v>473</v>
      </c>
      <c r="D221">
        <v>2</v>
      </c>
      <c r="E221" s="27">
        <v>40.73</v>
      </c>
      <c r="F221" s="28">
        <v>0</v>
      </c>
      <c r="G221" s="27">
        <v>81.46</v>
      </c>
      <c r="H221" s="27">
        <v>16.29</v>
      </c>
      <c r="I221" s="27">
        <v>97.75</v>
      </c>
    </row>
    <row r="222" ht="15" customHeight="1" spans="1:9">
      <c r="A222" t="s">
        <v>1190</v>
      </c>
      <c r="B222" t="s">
        <v>631</v>
      </c>
      <c r="C222" t="s">
        <v>389</v>
      </c>
      <c r="D222">
        <v>1</v>
      </c>
      <c r="E222" s="27">
        <v>120.37</v>
      </c>
      <c r="F222" s="28">
        <v>0</v>
      </c>
      <c r="G222" s="27">
        <v>120.37</v>
      </c>
      <c r="H222" s="27">
        <v>24.07</v>
      </c>
      <c r="I222" s="27">
        <v>144.44</v>
      </c>
    </row>
    <row r="223" ht="15" customHeight="1" spans="1:9">
      <c r="A223" t="s">
        <v>1191</v>
      </c>
      <c r="B223" t="s">
        <v>631</v>
      </c>
      <c r="C223" t="s">
        <v>400</v>
      </c>
      <c r="D223">
        <v>1</v>
      </c>
      <c r="E223" s="27">
        <v>328.03</v>
      </c>
      <c r="F223" s="28">
        <v>0</v>
      </c>
      <c r="G223" s="27">
        <v>328.03</v>
      </c>
      <c r="H223" s="27">
        <v>65.61</v>
      </c>
      <c r="I223" s="27">
        <v>393.64</v>
      </c>
    </row>
    <row r="224" ht="15" customHeight="1" spans="1:9">
      <c r="A224" t="s">
        <v>1192</v>
      </c>
      <c r="B224" t="s">
        <v>632</v>
      </c>
      <c r="C224" t="s">
        <v>463</v>
      </c>
      <c r="D224">
        <v>2</v>
      </c>
      <c r="E224" s="27">
        <v>73.02</v>
      </c>
      <c r="F224" s="28">
        <v>0</v>
      </c>
      <c r="G224" s="27">
        <v>146.04</v>
      </c>
      <c r="H224" s="27">
        <v>29.21</v>
      </c>
      <c r="I224" s="27">
        <v>175.25</v>
      </c>
    </row>
    <row r="225" ht="15" customHeight="1" spans="1:9">
      <c r="A225" t="s">
        <v>1193</v>
      </c>
      <c r="B225" t="s">
        <v>633</v>
      </c>
      <c r="C225" t="s">
        <v>366</v>
      </c>
      <c r="D225">
        <v>1</v>
      </c>
      <c r="E225" s="27">
        <v>1103.64</v>
      </c>
      <c r="F225" s="28">
        <v>0</v>
      </c>
      <c r="G225" s="27">
        <v>1103.64</v>
      </c>
      <c r="H225" s="27">
        <v>220.73</v>
      </c>
      <c r="I225" s="27">
        <v>1324.37</v>
      </c>
    </row>
    <row r="226" ht="15" customHeight="1" spans="1:9">
      <c r="A226" t="s">
        <v>1194</v>
      </c>
      <c r="B226" t="s">
        <v>633</v>
      </c>
      <c r="C226" t="s">
        <v>471</v>
      </c>
      <c r="D226">
        <v>1</v>
      </c>
      <c r="E226" s="27">
        <v>35.83</v>
      </c>
      <c r="F226" s="28">
        <v>0.05</v>
      </c>
      <c r="G226" s="27">
        <v>34.04</v>
      </c>
      <c r="H226" s="27">
        <v>6.81</v>
      </c>
      <c r="I226" s="27">
        <v>40.85</v>
      </c>
    </row>
    <row r="227" ht="15" customHeight="1" spans="1:9">
      <c r="A227" t="s">
        <v>1195</v>
      </c>
      <c r="B227" t="s">
        <v>633</v>
      </c>
      <c r="C227" t="s">
        <v>404</v>
      </c>
      <c r="D227">
        <v>2</v>
      </c>
      <c r="E227" s="27">
        <v>30.09</v>
      </c>
      <c r="F227" s="28">
        <v>0.15</v>
      </c>
      <c r="G227" s="27">
        <v>51.15</v>
      </c>
      <c r="H227" s="27">
        <v>10.23</v>
      </c>
      <c r="I227" s="27">
        <v>61.38</v>
      </c>
    </row>
    <row r="228" ht="15" customHeight="1" spans="1:9">
      <c r="A228" t="s">
        <v>1196</v>
      </c>
      <c r="B228" t="s">
        <v>633</v>
      </c>
      <c r="C228" t="s">
        <v>400</v>
      </c>
      <c r="D228">
        <v>1</v>
      </c>
      <c r="E228" s="27">
        <v>328.03</v>
      </c>
      <c r="F228" s="28">
        <v>0</v>
      </c>
      <c r="G228" s="27">
        <v>328.03</v>
      </c>
      <c r="H228" s="27">
        <v>65.61</v>
      </c>
      <c r="I228" s="27">
        <v>393.64</v>
      </c>
    </row>
    <row r="229" ht="15" customHeight="1" spans="1:9">
      <c r="A229" t="s">
        <v>1197</v>
      </c>
      <c r="B229" t="s">
        <v>633</v>
      </c>
      <c r="C229" t="s">
        <v>446</v>
      </c>
      <c r="D229">
        <v>1</v>
      </c>
      <c r="E229" s="27">
        <v>454.43</v>
      </c>
      <c r="F229" s="28">
        <v>0</v>
      </c>
      <c r="G229" s="27">
        <v>454.43</v>
      </c>
      <c r="H229" s="27">
        <v>90.89</v>
      </c>
      <c r="I229" s="27">
        <v>545.32</v>
      </c>
    </row>
    <row r="230" ht="15" customHeight="1" spans="1:9">
      <c r="A230" t="s">
        <v>1198</v>
      </c>
      <c r="B230" t="s">
        <v>634</v>
      </c>
      <c r="C230" t="s">
        <v>469</v>
      </c>
      <c r="D230">
        <v>2</v>
      </c>
      <c r="E230" s="27">
        <v>30.71</v>
      </c>
      <c r="F230" s="28">
        <v>0</v>
      </c>
      <c r="G230" s="27">
        <v>61.42</v>
      </c>
      <c r="H230" s="27">
        <v>12.28</v>
      </c>
      <c r="I230" s="27">
        <v>73.7</v>
      </c>
    </row>
    <row r="231" ht="15" customHeight="1" spans="1:9">
      <c r="A231" t="s">
        <v>1199</v>
      </c>
      <c r="B231" t="s">
        <v>634</v>
      </c>
      <c r="C231" t="s">
        <v>400</v>
      </c>
      <c r="D231">
        <v>1</v>
      </c>
      <c r="E231" s="27">
        <v>328.03</v>
      </c>
      <c r="F231" s="28">
        <v>0.05</v>
      </c>
      <c r="G231" s="27">
        <v>311.63</v>
      </c>
      <c r="H231" s="27">
        <v>62.33</v>
      </c>
      <c r="I231" s="27">
        <v>373.96</v>
      </c>
    </row>
    <row r="232" ht="15" customHeight="1" spans="1:9">
      <c r="A232" t="s">
        <v>1200</v>
      </c>
      <c r="B232" t="s">
        <v>635</v>
      </c>
      <c r="C232" t="s">
        <v>417</v>
      </c>
      <c r="D232">
        <v>1</v>
      </c>
      <c r="E232" s="27">
        <v>59.79</v>
      </c>
      <c r="F232" s="28">
        <v>0.1</v>
      </c>
      <c r="G232" s="27">
        <v>53.81</v>
      </c>
      <c r="H232" s="27">
        <v>10.76</v>
      </c>
      <c r="I232" s="27">
        <v>64.57</v>
      </c>
    </row>
    <row r="233" ht="15" customHeight="1" spans="1:9">
      <c r="A233" t="s">
        <v>1201</v>
      </c>
      <c r="B233" t="s">
        <v>636</v>
      </c>
      <c r="C233" t="s">
        <v>469</v>
      </c>
      <c r="D233">
        <v>3</v>
      </c>
      <c r="E233" s="27">
        <v>30.71</v>
      </c>
      <c r="F233" s="28">
        <v>0</v>
      </c>
      <c r="G233" s="27">
        <v>92.13</v>
      </c>
      <c r="H233" s="27">
        <v>18.43</v>
      </c>
      <c r="I233" s="27">
        <v>110.56</v>
      </c>
    </row>
    <row r="234" ht="15" customHeight="1" spans="1:9">
      <c r="A234" t="s">
        <v>1202</v>
      </c>
      <c r="B234" t="s">
        <v>636</v>
      </c>
      <c r="C234" t="s">
        <v>389</v>
      </c>
      <c r="D234">
        <v>3</v>
      </c>
      <c r="E234" s="27">
        <v>120.37</v>
      </c>
      <c r="F234" s="28">
        <v>0.05</v>
      </c>
      <c r="G234" s="27">
        <v>343.05</v>
      </c>
      <c r="H234" s="27">
        <v>68.61</v>
      </c>
      <c r="I234" s="27">
        <v>411.66</v>
      </c>
    </row>
    <row r="235" ht="15" customHeight="1" spans="1:9">
      <c r="A235" t="s">
        <v>1203</v>
      </c>
      <c r="B235" t="s">
        <v>637</v>
      </c>
      <c r="C235" t="s">
        <v>427</v>
      </c>
      <c r="D235">
        <v>1</v>
      </c>
      <c r="E235" s="27">
        <v>25.25</v>
      </c>
      <c r="F235" s="28">
        <v>0.15</v>
      </c>
      <c r="G235" s="27">
        <v>21.46</v>
      </c>
      <c r="H235" s="27">
        <v>4.29</v>
      </c>
      <c r="I235" s="27">
        <v>25.75</v>
      </c>
    </row>
    <row r="236" ht="15" customHeight="1" spans="1:9">
      <c r="A236" t="s">
        <v>1204</v>
      </c>
      <c r="B236" t="s">
        <v>637</v>
      </c>
      <c r="C236" t="s">
        <v>402</v>
      </c>
      <c r="D236">
        <v>1</v>
      </c>
      <c r="E236" s="27">
        <v>26.57</v>
      </c>
      <c r="F236" s="28">
        <v>0</v>
      </c>
      <c r="G236" s="27">
        <v>26.57</v>
      </c>
      <c r="H236" s="27">
        <v>5.31</v>
      </c>
      <c r="I236" s="27">
        <v>31.88</v>
      </c>
    </row>
    <row r="237" ht="15" customHeight="1" spans="1:9">
      <c r="A237" t="s">
        <v>1205</v>
      </c>
      <c r="B237" t="s">
        <v>637</v>
      </c>
      <c r="C237" t="s">
        <v>366</v>
      </c>
      <c r="D237">
        <v>1</v>
      </c>
      <c r="E237" s="27">
        <v>1103.64</v>
      </c>
      <c r="F237" s="28">
        <v>0.05</v>
      </c>
      <c r="G237" s="27">
        <v>1048.46</v>
      </c>
      <c r="H237" s="27">
        <v>209.69</v>
      </c>
      <c r="I237" s="27">
        <v>1258.15</v>
      </c>
    </row>
    <row r="238" ht="15" customHeight="1" spans="1:9">
      <c r="A238" t="s">
        <v>1206</v>
      </c>
      <c r="B238" t="s">
        <v>638</v>
      </c>
      <c r="C238" t="s">
        <v>427</v>
      </c>
      <c r="D238">
        <v>1</v>
      </c>
      <c r="E238" s="27">
        <v>25.25</v>
      </c>
      <c r="F238" s="28">
        <v>0.1</v>
      </c>
      <c r="G238" s="27">
        <v>22.73</v>
      </c>
      <c r="H238" s="27">
        <v>4.55</v>
      </c>
      <c r="I238" s="27">
        <v>27.28</v>
      </c>
    </row>
    <row r="239" ht="15" customHeight="1" spans="1:9">
      <c r="A239" t="s">
        <v>1207</v>
      </c>
      <c r="B239" t="s">
        <v>638</v>
      </c>
      <c r="C239" t="s">
        <v>469</v>
      </c>
      <c r="D239">
        <v>1</v>
      </c>
      <c r="E239" s="27">
        <v>30.71</v>
      </c>
      <c r="F239" s="28">
        <v>0</v>
      </c>
      <c r="G239" s="27">
        <v>30.71</v>
      </c>
      <c r="H239" s="27">
        <v>6.14</v>
      </c>
      <c r="I239" s="27">
        <v>36.85</v>
      </c>
    </row>
    <row r="240" ht="15" customHeight="1" spans="1:9">
      <c r="A240" t="s">
        <v>1208</v>
      </c>
      <c r="B240" t="s">
        <v>639</v>
      </c>
      <c r="C240" t="s">
        <v>454</v>
      </c>
      <c r="D240">
        <v>2</v>
      </c>
      <c r="E240" s="27">
        <v>375.86</v>
      </c>
      <c r="F240" s="28">
        <v>0</v>
      </c>
      <c r="G240" s="27">
        <v>751.72</v>
      </c>
      <c r="H240" s="27">
        <v>150.34</v>
      </c>
      <c r="I240" s="27">
        <v>902.06</v>
      </c>
    </row>
    <row r="241" ht="15" customHeight="1" spans="1:9">
      <c r="A241" t="s">
        <v>1209</v>
      </c>
      <c r="B241" t="s">
        <v>640</v>
      </c>
      <c r="C241" t="s">
        <v>465</v>
      </c>
      <c r="D241">
        <v>1</v>
      </c>
      <c r="E241" s="27">
        <v>44.16</v>
      </c>
      <c r="F241" s="28">
        <v>0.15</v>
      </c>
      <c r="G241" s="27">
        <v>37.54</v>
      </c>
      <c r="H241" s="27">
        <v>7.51</v>
      </c>
      <c r="I241" s="27">
        <v>45.05</v>
      </c>
    </row>
    <row r="242" ht="15" customHeight="1" spans="1:9">
      <c r="A242" t="s">
        <v>1210</v>
      </c>
      <c r="B242" t="s">
        <v>640</v>
      </c>
      <c r="C242" t="s">
        <v>380</v>
      </c>
      <c r="D242">
        <v>2</v>
      </c>
      <c r="E242" s="27">
        <v>80.3</v>
      </c>
      <c r="F242" s="28">
        <v>0.15</v>
      </c>
      <c r="G242" s="27">
        <v>136.51</v>
      </c>
      <c r="H242" s="27">
        <v>27.3</v>
      </c>
      <c r="I242" s="27">
        <v>163.81</v>
      </c>
    </row>
    <row r="243" ht="15" customHeight="1" spans="1:9">
      <c r="A243" t="s">
        <v>1211</v>
      </c>
      <c r="B243" t="s">
        <v>641</v>
      </c>
      <c r="C243" t="s">
        <v>465</v>
      </c>
      <c r="D243">
        <v>1</v>
      </c>
      <c r="E243" s="27">
        <v>44.16</v>
      </c>
      <c r="F243" s="28">
        <v>0.05</v>
      </c>
      <c r="G243" s="27">
        <v>41.95</v>
      </c>
      <c r="H243" s="27">
        <v>8.39</v>
      </c>
      <c r="I243" s="27">
        <v>50.34</v>
      </c>
    </row>
    <row r="244" ht="15" customHeight="1" spans="1:9">
      <c r="A244" t="s">
        <v>1212</v>
      </c>
      <c r="B244" t="s">
        <v>641</v>
      </c>
      <c r="C244" t="s">
        <v>429</v>
      </c>
      <c r="D244">
        <v>2</v>
      </c>
      <c r="E244" s="27">
        <v>32.75</v>
      </c>
      <c r="F244" s="28">
        <v>0</v>
      </c>
      <c r="G244" s="27">
        <v>65.5</v>
      </c>
      <c r="H244" s="27">
        <v>13.1</v>
      </c>
      <c r="I244" s="27">
        <v>78.6</v>
      </c>
    </row>
    <row r="245" ht="15" customHeight="1" spans="1:9">
      <c r="A245" t="s">
        <v>1213</v>
      </c>
      <c r="B245" t="s">
        <v>642</v>
      </c>
      <c r="C245" t="s">
        <v>377</v>
      </c>
      <c r="D245">
        <v>2</v>
      </c>
      <c r="E245" s="27">
        <v>84.94</v>
      </c>
      <c r="F245" s="28">
        <v>0</v>
      </c>
      <c r="G245" s="27">
        <v>169.88</v>
      </c>
      <c r="H245" s="27">
        <v>33.98</v>
      </c>
      <c r="I245" s="27">
        <v>203.86</v>
      </c>
    </row>
    <row r="246" ht="15" customHeight="1" spans="1:9">
      <c r="A246" t="s">
        <v>1214</v>
      </c>
      <c r="B246" t="s">
        <v>643</v>
      </c>
      <c r="C246" t="s">
        <v>450</v>
      </c>
      <c r="D246">
        <v>1</v>
      </c>
      <c r="E246" s="27">
        <v>538.29</v>
      </c>
      <c r="F246" s="28">
        <v>0.15</v>
      </c>
      <c r="G246" s="27">
        <v>457.55</v>
      </c>
      <c r="H246" s="27">
        <v>91.51</v>
      </c>
      <c r="I246" s="27">
        <v>549.06</v>
      </c>
    </row>
    <row r="247" ht="15" customHeight="1" spans="1:9">
      <c r="A247" t="s">
        <v>1215</v>
      </c>
      <c r="B247" t="s">
        <v>643</v>
      </c>
      <c r="C247" t="s">
        <v>425</v>
      </c>
      <c r="D247">
        <v>5</v>
      </c>
      <c r="E247" s="27">
        <v>36.08</v>
      </c>
      <c r="F247" s="28">
        <v>0</v>
      </c>
      <c r="G247" s="27">
        <v>180.4</v>
      </c>
      <c r="H247" s="27">
        <v>36.08</v>
      </c>
      <c r="I247" s="27">
        <v>216.48</v>
      </c>
    </row>
    <row r="248" ht="15" customHeight="1" spans="1:9">
      <c r="A248" t="s">
        <v>1216</v>
      </c>
      <c r="B248" t="s">
        <v>643</v>
      </c>
      <c r="C248" t="s">
        <v>393</v>
      </c>
      <c r="D248">
        <v>2</v>
      </c>
      <c r="E248" s="27">
        <v>196.18</v>
      </c>
      <c r="F248" s="28">
        <v>0.1</v>
      </c>
      <c r="G248" s="27">
        <v>353.12</v>
      </c>
      <c r="H248" s="27">
        <v>70.62</v>
      </c>
      <c r="I248" s="27">
        <v>423.74</v>
      </c>
    </row>
    <row r="249" ht="15" customHeight="1" spans="1:9">
      <c r="A249" t="s">
        <v>1217</v>
      </c>
      <c r="B249" t="s">
        <v>643</v>
      </c>
      <c r="C249" t="s">
        <v>423</v>
      </c>
      <c r="D249">
        <v>2</v>
      </c>
      <c r="E249" s="27">
        <v>46.02</v>
      </c>
      <c r="F249" s="28">
        <v>0.1</v>
      </c>
      <c r="G249" s="27">
        <v>82.84</v>
      </c>
      <c r="H249" s="27">
        <v>16.57</v>
      </c>
      <c r="I249" s="27">
        <v>99.41</v>
      </c>
    </row>
    <row r="250" ht="15" customHeight="1" spans="1:9">
      <c r="A250" t="s">
        <v>1218</v>
      </c>
      <c r="B250" t="s">
        <v>643</v>
      </c>
      <c r="C250" t="s">
        <v>417</v>
      </c>
      <c r="D250">
        <v>1</v>
      </c>
      <c r="E250" s="27">
        <v>59.79</v>
      </c>
      <c r="F250" s="28">
        <v>0.15</v>
      </c>
      <c r="G250" s="27">
        <v>50.82</v>
      </c>
      <c r="H250" s="27">
        <v>10.16</v>
      </c>
      <c r="I250" s="27">
        <v>60.98</v>
      </c>
    </row>
    <row r="251" ht="15" customHeight="1" spans="1:9">
      <c r="A251" t="s">
        <v>1219</v>
      </c>
      <c r="B251" t="s">
        <v>644</v>
      </c>
      <c r="C251" t="s">
        <v>417</v>
      </c>
      <c r="D251">
        <v>2</v>
      </c>
      <c r="E251" s="27">
        <v>59.79</v>
      </c>
      <c r="F251" s="28">
        <v>0.1</v>
      </c>
      <c r="G251" s="27">
        <v>107.62</v>
      </c>
      <c r="H251" s="27">
        <v>21.52</v>
      </c>
      <c r="I251" s="27">
        <v>129.14</v>
      </c>
    </row>
    <row r="252" ht="15" customHeight="1" spans="1:9">
      <c r="A252" t="s">
        <v>1220</v>
      </c>
      <c r="B252" t="s">
        <v>644</v>
      </c>
      <c r="C252" t="s">
        <v>452</v>
      </c>
      <c r="D252">
        <v>1</v>
      </c>
      <c r="E252" s="27">
        <v>381.57</v>
      </c>
      <c r="F252" s="28">
        <v>0</v>
      </c>
      <c r="G252" s="27">
        <v>381.57</v>
      </c>
      <c r="H252" s="27">
        <v>76.31</v>
      </c>
      <c r="I252" s="27">
        <v>457.88</v>
      </c>
    </row>
    <row r="253" ht="15" customHeight="1" spans="1:9">
      <c r="A253" t="s">
        <v>1221</v>
      </c>
      <c r="B253" t="s">
        <v>644</v>
      </c>
      <c r="C253" t="s">
        <v>370</v>
      </c>
      <c r="D253">
        <v>2</v>
      </c>
      <c r="E253" s="27">
        <v>970.58</v>
      </c>
      <c r="F253" s="28">
        <v>0.05</v>
      </c>
      <c r="G253" s="27">
        <v>1844.1</v>
      </c>
      <c r="H253" s="27">
        <v>368.82</v>
      </c>
      <c r="I253" s="27">
        <v>2212.92</v>
      </c>
    </row>
    <row r="254" ht="15" customHeight="1" spans="1:9">
      <c r="A254" t="s">
        <v>1222</v>
      </c>
      <c r="B254" t="s">
        <v>645</v>
      </c>
      <c r="C254" t="s">
        <v>410</v>
      </c>
      <c r="D254">
        <v>3</v>
      </c>
      <c r="E254" s="27">
        <v>106.93</v>
      </c>
      <c r="F254" s="28">
        <v>0.15</v>
      </c>
      <c r="G254" s="27">
        <v>272.67</v>
      </c>
      <c r="H254" s="27">
        <v>54.53</v>
      </c>
      <c r="I254" s="27">
        <v>327.2</v>
      </c>
    </row>
    <row r="255" ht="15" customHeight="1" spans="1:9">
      <c r="A255" t="s">
        <v>1223</v>
      </c>
      <c r="B255" t="s">
        <v>645</v>
      </c>
      <c r="C255" t="s">
        <v>377</v>
      </c>
      <c r="D255">
        <v>1</v>
      </c>
      <c r="E255" s="27">
        <v>84.94</v>
      </c>
      <c r="F255" s="28">
        <v>0</v>
      </c>
      <c r="G255" s="27">
        <v>84.94</v>
      </c>
      <c r="H255" s="27">
        <v>16.99</v>
      </c>
      <c r="I255" s="27">
        <v>101.93</v>
      </c>
    </row>
    <row r="256" ht="15" customHeight="1" spans="1:9">
      <c r="A256" t="s">
        <v>1224</v>
      </c>
      <c r="B256" t="s">
        <v>645</v>
      </c>
      <c r="C256" t="s">
        <v>423</v>
      </c>
      <c r="D256">
        <v>3</v>
      </c>
      <c r="E256" s="27">
        <v>46.02</v>
      </c>
      <c r="F256" s="28">
        <v>0.15</v>
      </c>
      <c r="G256" s="27">
        <v>117.35</v>
      </c>
      <c r="H256" s="27">
        <v>23.47</v>
      </c>
      <c r="I256" s="27">
        <v>140.82</v>
      </c>
    </row>
    <row r="257" ht="15" customHeight="1" spans="1:9">
      <c r="A257" t="s">
        <v>1225</v>
      </c>
      <c r="B257" t="s">
        <v>646</v>
      </c>
      <c r="C257" t="s">
        <v>431</v>
      </c>
      <c r="D257">
        <v>1</v>
      </c>
      <c r="E257" s="27">
        <v>47.74</v>
      </c>
      <c r="F257" s="28">
        <v>0</v>
      </c>
      <c r="G257" s="27">
        <v>47.74</v>
      </c>
      <c r="H257" s="27">
        <v>9.55</v>
      </c>
      <c r="I257" s="27">
        <v>57.29</v>
      </c>
    </row>
    <row r="258" ht="15" customHeight="1" spans="1:9">
      <c r="A258" t="s">
        <v>1226</v>
      </c>
      <c r="B258" t="s">
        <v>646</v>
      </c>
      <c r="C258" t="s">
        <v>383</v>
      </c>
      <c r="D258">
        <v>1</v>
      </c>
      <c r="E258" s="27">
        <v>39.08</v>
      </c>
      <c r="F258" s="28">
        <v>0</v>
      </c>
      <c r="G258" s="27">
        <v>39.08</v>
      </c>
      <c r="H258" s="27">
        <v>7.82</v>
      </c>
      <c r="I258" s="27">
        <v>46.9</v>
      </c>
    </row>
    <row r="259" ht="15" customHeight="1" spans="1:9">
      <c r="A259" t="s">
        <v>1227</v>
      </c>
      <c r="B259" t="s">
        <v>646</v>
      </c>
      <c r="C259" t="s">
        <v>429</v>
      </c>
      <c r="D259">
        <v>1</v>
      </c>
      <c r="E259" s="27">
        <v>32.75</v>
      </c>
      <c r="F259" s="28">
        <v>0.1</v>
      </c>
      <c r="G259" s="27">
        <v>29.48</v>
      </c>
      <c r="H259" s="27">
        <v>5.9</v>
      </c>
      <c r="I259" s="27">
        <v>35.38</v>
      </c>
    </row>
    <row r="260" ht="15" customHeight="1" spans="1:9">
      <c r="A260" t="s">
        <v>1228</v>
      </c>
      <c r="B260" t="s">
        <v>646</v>
      </c>
      <c r="C260" t="s">
        <v>440</v>
      </c>
      <c r="D260">
        <v>1</v>
      </c>
      <c r="E260" s="27">
        <v>391.34</v>
      </c>
      <c r="F260" s="28">
        <v>0</v>
      </c>
      <c r="G260" s="27">
        <v>391.34</v>
      </c>
      <c r="H260" s="27">
        <v>78.27</v>
      </c>
      <c r="I260" s="27">
        <v>469.61</v>
      </c>
    </row>
    <row r="261" ht="15" customHeight="1" spans="1:9">
      <c r="A261" t="s">
        <v>1229</v>
      </c>
      <c r="B261" t="s">
        <v>647</v>
      </c>
      <c r="C261" t="s">
        <v>427</v>
      </c>
      <c r="D261">
        <v>1</v>
      </c>
      <c r="E261" s="27">
        <v>25.25</v>
      </c>
      <c r="F261" s="28">
        <v>0</v>
      </c>
      <c r="G261" s="27">
        <v>25.25</v>
      </c>
      <c r="H261" s="27">
        <v>5.05</v>
      </c>
      <c r="I261" s="27">
        <v>30.3</v>
      </c>
    </row>
    <row r="262" ht="15" customHeight="1" spans="1:9">
      <c r="A262" t="s">
        <v>1230</v>
      </c>
      <c r="B262" t="s">
        <v>648</v>
      </c>
      <c r="C262" t="s">
        <v>408</v>
      </c>
      <c r="D262">
        <v>2</v>
      </c>
      <c r="E262" s="27">
        <v>19.65</v>
      </c>
      <c r="F262" s="28">
        <v>0</v>
      </c>
      <c r="G262" s="27">
        <v>39.3</v>
      </c>
      <c r="H262" s="27">
        <v>7.86</v>
      </c>
      <c r="I262" s="27">
        <v>47.16</v>
      </c>
    </row>
    <row r="263" ht="15" customHeight="1" spans="1:9">
      <c r="A263" t="s">
        <v>1231</v>
      </c>
      <c r="B263" t="s">
        <v>649</v>
      </c>
      <c r="C263" t="s">
        <v>404</v>
      </c>
      <c r="D263">
        <v>3</v>
      </c>
      <c r="E263" s="27">
        <v>30.09</v>
      </c>
      <c r="F263" s="28">
        <v>0.05</v>
      </c>
      <c r="G263" s="27">
        <v>85.76</v>
      </c>
      <c r="H263" s="27">
        <v>17.15</v>
      </c>
      <c r="I263" s="27">
        <v>102.91</v>
      </c>
    </row>
    <row r="264" ht="15" customHeight="1" spans="1:9">
      <c r="A264" t="s">
        <v>1232</v>
      </c>
      <c r="B264" t="s">
        <v>650</v>
      </c>
      <c r="C264" t="s">
        <v>417</v>
      </c>
      <c r="D264">
        <v>3</v>
      </c>
      <c r="E264" s="27">
        <v>59.79</v>
      </c>
      <c r="F264" s="28">
        <v>0.05</v>
      </c>
      <c r="G264" s="27">
        <v>170.4</v>
      </c>
      <c r="H264" s="27">
        <v>34.08</v>
      </c>
      <c r="I264" s="27">
        <v>204.48</v>
      </c>
    </row>
    <row r="265" ht="15" customHeight="1" spans="1:9">
      <c r="A265" t="s">
        <v>1233</v>
      </c>
      <c r="B265" t="s">
        <v>650</v>
      </c>
      <c r="C265" t="s">
        <v>417</v>
      </c>
      <c r="D265">
        <v>1</v>
      </c>
      <c r="E265" s="27">
        <v>59.79</v>
      </c>
      <c r="F265" s="28">
        <v>0.05</v>
      </c>
      <c r="G265" s="27">
        <v>56.8</v>
      </c>
      <c r="H265" s="27">
        <v>11.36</v>
      </c>
      <c r="I265" s="27">
        <v>68.16</v>
      </c>
    </row>
    <row r="266" ht="15" customHeight="1" spans="1:9">
      <c r="A266" t="s">
        <v>1234</v>
      </c>
      <c r="B266" t="s">
        <v>650</v>
      </c>
      <c r="C266" t="s">
        <v>459</v>
      </c>
      <c r="D266">
        <v>8</v>
      </c>
      <c r="E266" s="27">
        <v>70.8</v>
      </c>
      <c r="F266" s="28">
        <v>0</v>
      </c>
      <c r="G266" s="27">
        <v>566.4</v>
      </c>
      <c r="H266" s="27">
        <v>113.28</v>
      </c>
      <c r="I266" s="27">
        <v>679.68</v>
      </c>
    </row>
    <row r="267" ht="15" customHeight="1" spans="1:9">
      <c r="A267" t="s">
        <v>1235</v>
      </c>
      <c r="B267" t="s">
        <v>650</v>
      </c>
      <c r="C267" t="s">
        <v>412</v>
      </c>
      <c r="D267">
        <v>1</v>
      </c>
      <c r="E267" s="27">
        <v>114.1</v>
      </c>
      <c r="F267" s="28">
        <v>0.15</v>
      </c>
      <c r="G267" s="27">
        <v>96.98</v>
      </c>
      <c r="H267" s="27">
        <v>19.4</v>
      </c>
      <c r="I267" s="27">
        <v>116.38</v>
      </c>
    </row>
    <row r="268" ht="15" customHeight="1" spans="1:9">
      <c r="A268" t="s">
        <v>1236</v>
      </c>
      <c r="B268" t="s">
        <v>651</v>
      </c>
      <c r="C268" t="s">
        <v>456</v>
      </c>
      <c r="D268">
        <v>2</v>
      </c>
      <c r="E268" s="27">
        <v>62.13</v>
      </c>
      <c r="F268" s="28">
        <v>0.1</v>
      </c>
      <c r="G268" s="27">
        <v>111.83</v>
      </c>
      <c r="H268" s="27">
        <v>22.37</v>
      </c>
      <c r="I268" s="27">
        <v>134.2</v>
      </c>
    </row>
    <row r="269" ht="15" customHeight="1" spans="1:9">
      <c r="A269" t="s">
        <v>1237</v>
      </c>
      <c r="B269" t="s">
        <v>651</v>
      </c>
      <c r="C269" t="s">
        <v>404</v>
      </c>
      <c r="D269">
        <v>1</v>
      </c>
      <c r="E269" s="27">
        <v>30.09</v>
      </c>
      <c r="F269" s="28">
        <v>0</v>
      </c>
      <c r="G269" s="27">
        <v>30.09</v>
      </c>
      <c r="H269" s="27">
        <v>6.02</v>
      </c>
      <c r="I269" s="27">
        <v>36.11</v>
      </c>
    </row>
    <row r="270" ht="15" customHeight="1" spans="1:9">
      <c r="A270" t="s">
        <v>1238</v>
      </c>
      <c r="B270" t="s">
        <v>651</v>
      </c>
      <c r="C270" t="s">
        <v>425</v>
      </c>
      <c r="D270">
        <v>1</v>
      </c>
      <c r="E270" s="27">
        <v>36.08</v>
      </c>
      <c r="F270" s="28">
        <v>0.1</v>
      </c>
      <c r="G270" s="27">
        <v>32.47</v>
      </c>
      <c r="H270" s="27">
        <v>6.49</v>
      </c>
      <c r="I270" s="27">
        <v>38.96</v>
      </c>
    </row>
    <row r="271" ht="15" customHeight="1" spans="1:9">
      <c r="A271" t="s">
        <v>1239</v>
      </c>
      <c r="B271" t="s">
        <v>652</v>
      </c>
      <c r="C271" t="s">
        <v>400</v>
      </c>
      <c r="D271">
        <v>1</v>
      </c>
      <c r="E271" s="27">
        <v>328.03</v>
      </c>
      <c r="F271" s="28">
        <v>0</v>
      </c>
      <c r="G271" s="27">
        <v>328.03</v>
      </c>
      <c r="H271" s="27">
        <v>65.61</v>
      </c>
      <c r="I271" s="27">
        <v>393.64</v>
      </c>
    </row>
    <row r="272" ht="15" customHeight="1" spans="1:9">
      <c r="A272" t="s">
        <v>1240</v>
      </c>
      <c r="B272" t="s">
        <v>652</v>
      </c>
      <c r="C272" t="s">
        <v>465</v>
      </c>
      <c r="D272">
        <v>1</v>
      </c>
      <c r="E272" s="27">
        <v>44.16</v>
      </c>
      <c r="F272" s="28">
        <v>0.05</v>
      </c>
      <c r="G272" s="27">
        <v>41.95</v>
      </c>
      <c r="H272" s="27">
        <v>8.39</v>
      </c>
      <c r="I272" s="27">
        <v>50.34</v>
      </c>
    </row>
    <row r="273" ht="15" customHeight="1" spans="1:9">
      <c r="A273" t="s">
        <v>1241</v>
      </c>
      <c r="B273" t="s">
        <v>652</v>
      </c>
      <c r="C273" t="s">
        <v>463</v>
      </c>
      <c r="D273">
        <v>2</v>
      </c>
      <c r="E273" s="27">
        <v>73.02</v>
      </c>
      <c r="F273" s="28">
        <v>0.15</v>
      </c>
      <c r="G273" s="27">
        <v>124.13</v>
      </c>
      <c r="H273" s="27">
        <v>24.83</v>
      </c>
      <c r="I273" s="27">
        <v>148.96</v>
      </c>
    </row>
    <row r="274" ht="15" customHeight="1" spans="1:9">
      <c r="A274" t="s">
        <v>1242</v>
      </c>
      <c r="B274" t="s">
        <v>652</v>
      </c>
      <c r="C274" t="s">
        <v>412</v>
      </c>
      <c r="D274">
        <v>1</v>
      </c>
      <c r="E274" s="27">
        <v>114.1</v>
      </c>
      <c r="F274" s="28">
        <v>0.15</v>
      </c>
      <c r="G274" s="27">
        <v>96.98</v>
      </c>
      <c r="H274" s="27">
        <v>19.4</v>
      </c>
      <c r="I274" s="27">
        <v>116.38</v>
      </c>
    </row>
    <row r="275" ht="15" customHeight="1" spans="1:9">
      <c r="A275" t="s">
        <v>1243</v>
      </c>
      <c r="B275" t="s">
        <v>653</v>
      </c>
      <c r="C275" t="s">
        <v>465</v>
      </c>
      <c r="D275">
        <v>1</v>
      </c>
      <c r="E275" s="27">
        <v>44.16</v>
      </c>
      <c r="F275" s="28">
        <v>0</v>
      </c>
      <c r="G275" s="27">
        <v>44.16</v>
      </c>
      <c r="H275" s="27">
        <v>8.83</v>
      </c>
      <c r="I275" s="27">
        <v>52.99</v>
      </c>
    </row>
    <row r="276" ht="15" customHeight="1" spans="1:9">
      <c r="A276" t="s">
        <v>1244</v>
      </c>
      <c r="B276" t="s">
        <v>653</v>
      </c>
      <c r="C276" t="s">
        <v>421</v>
      </c>
      <c r="D276">
        <v>3</v>
      </c>
      <c r="E276" s="27">
        <v>78.78</v>
      </c>
      <c r="F276" s="28">
        <v>0.1</v>
      </c>
      <c r="G276" s="27">
        <v>212.71</v>
      </c>
      <c r="H276" s="27">
        <v>42.54</v>
      </c>
      <c r="I276" s="27">
        <v>255.25</v>
      </c>
    </row>
    <row r="277" ht="15" customHeight="1" spans="1:9">
      <c r="A277" t="s">
        <v>1245</v>
      </c>
      <c r="B277" t="s">
        <v>654</v>
      </c>
      <c r="C277" t="s">
        <v>372</v>
      </c>
      <c r="D277">
        <v>2</v>
      </c>
      <c r="E277" s="27">
        <v>216.77</v>
      </c>
      <c r="F277" s="28">
        <v>0.15</v>
      </c>
      <c r="G277" s="27">
        <v>368.51</v>
      </c>
      <c r="H277" s="27">
        <v>73.7</v>
      </c>
      <c r="I277" s="27">
        <v>442.21</v>
      </c>
    </row>
    <row r="278" ht="15" customHeight="1" spans="1:9">
      <c r="A278" t="s">
        <v>1246</v>
      </c>
      <c r="B278" t="s">
        <v>654</v>
      </c>
      <c r="C278" t="s">
        <v>463</v>
      </c>
      <c r="D278">
        <v>2</v>
      </c>
      <c r="E278" s="27">
        <v>73.02</v>
      </c>
      <c r="F278" s="28">
        <v>0</v>
      </c>
      <c r="G278" s="27">
        <v>146.04</v>
      </c>
      <c r="H278" s="27">
        <v>29.21</v>
      </c>
      <c r="I278" s="27">
        <v>175.25</v>
      </c>
    </row>
    <row r="279" ht="15" customHeight="1" spans="1:9">
      <c r="A279" t="s">
        <v>1247</v>
      </c>
      <c r="B279" t="s">
        <v>655</v>
      </c>
      <c r="C279" t="s">
        <v>433</v>
      </c>
      <c r="D279">
        <v>3</v>
      </c>
      <c r="E279" s="27">
        <v>58.14</v>
      </c>
      <c r="F279" s="28">
        <v>0.1</v>
      </c>
      <c r="G279" s="27">
        <v>156.98</v>
      </c>
      <c r="H279" s="27">
        <v>31.4</v>
      </c>
      <c r="I279" s="27">
        <v>188.38</v>
      </c>
    </row>
    <row r="280" ht="15" customHeight="1" spans="1:9">
      <c r="A280" t="s">
        <v>1248</v>
      </c>
      <c r="B280" t="s">
        <v>655</v>
      </c>
      <c r="C280" t="s">
        <v>465</v>
      </c>
      <c r="D280">
        <v>2</v>
      </c>
      <c r="E280" s="27">
        <v>44.16</v>
      </c>
      <c r="F280" s="28">
        <v>0</v>
      </c>
      <c r="G280" s="27">
        <v>88.32</v>
      </c>
      <c r="H280" s="27">
        <v>17.66</v>
      </c>
      <c r="I280" s="27">
        <v>105.98</v>
      </c>
    </row>
    <row r="281" ht="15" customHeight="1" spans="1:9">
      <c r="A281" t="s">
        <v>1249</v>
      </c>
      <c r="B281" t="s">
        <v>656</v>
      </c>
      <c r="C281" t="s">
        <v>469</v>
      </c>
      <c r="D281">
        <v>1</v>
      </c>
      <c r="E281" s="27">
        <v>30.71</v>
      </c>
      <c r="F281" s="28">
        <v>0</v>
      </c>
      <c r="G281" s="27">
        <v>30.71</v>
      </c>
      <c r="H281" s="27">
        <v>6.14</v>
      </c>
      <c r="I281" s="27">
        <v>36.85</v>
      </c>
    </row>
    <row r="282" ht="15" customHeight="1" spans="1:9">
      <c r="A282" t="s">
        <v>1250</v>
      </c>
      <c r="B282" t="s">
        <v>656</v>
      </c>
      <c r="C282" t="s">
        <v>417</v>
      </c>
      <c r="D282">
        <v>2</v>
      </c>
      <c r="E282" s="27">
        <v>59.79</v>
      </c>
      <c r="F282" s="28">
        <v>0</v>
      </c>
      <c r="G282" s="27">
        <v>119.58</v>
      </c>
      <c r="H282" s="27">
        <v>23.92</v>
      </c>
      <c r="I282" s="27">
        <v>143.5</v>
      </c>
    </row>
    <row r="283" ht="15" customHeight="1" spans="1:9">
      <c r="A283" t="s">
        <v>1251</v>
      </c>
      <c r="B283" t="s">
        <v>656</v>
      </c>
      <c r="C283" t="s">
        <v>442</v>
      </c>
      <c r="D283">
        <v>2</v>
      </c>
      <c r="E283" s="27">
        <v>374.59</v>
      </c>
      <c r="F283" s="28">
        <v>0.05</v>
      </c>
      <c r="G283" s="27">
        <v>711.72</v>
      </c>
      <c r="H283" s="27">
        <v>142.34</v>
      </c>
      <c r="I283" s="27">
        <v>854.06</v>
      </c>
    </row>
    <row r="284" ht="15" customHeight="1" spans="1:9">
      <c r="A284" t="s">
        <v>1252</v>
      </c>
      <c r="B284" t="s">
        <v>657</v>
      </c>
      <c r="C284" t="s">
        <v>417</v>
      </c>
      <c r="D284">
        <v>2</v>
      </c>
      <c r="E284" s="27">
        <v>59.79</v>
      </c>
      <c r="F284" s="28">
        <v>0.15</v>
      </c>
      <c r="G284" s="27">
        <v>101.64</v>
      </c>
      <c r="H284" s="27">
        <v>20.33</v>
      </c>
      <c r="I284" s="27">
        <v>121.97</v>
      </c>
    </row>
    <row r="285" ht="15" customHeight="1" spans="1:9">
      <c r="A285" t="s">
        <v>1253</v>
      </c>
      <c r="B285" t="s">
        <v>658</v>
      </c>
      <c r="C285" t="s">
        <v>402</v>
      </c>
      <c r="D285">
        <v>3</v>
      </c>
      <c r="E285" s="27">
        <v>26.57</v>
      </c>
      <c r="F285" s="28">
        <v>0.15</v>
      </c>
      <c r="G285" s="27">
        <v>67.75</v>
      </c>
      <c r="H285" s="27">
        <v>13.55</v>
      </c>
      <c r="I285" s="27">
        <v>81.3</v>
      </c>
    </row>
    <row r="286" ht="15" customHeight="1" spans="1:9">
      <c r="A286" t="s">
        <v>1254</v>
      </c>
      <c r="B286" t="s">
        <v>658</v>
      </c>
      <c r="C286" t="s">
        <v>396</v>
      </c>
      <c r="D286">
        <v>1</v>
      </c>
      <c r="E286" s="27">
        <v>225.64</v>
      </c>
      <c r="F286" s="28">
        <v>0.15</v>
      </c>
      <c r="G286" s="27">
        <v>191.79</v>
      </c>
      <c r="H286" s="27">
        <v>38.36</v>
      </c>
      <c r="I286" s="27">
        <v>230.15</v>
      </c>
    </row>
    <row r="287" ht="15" customHeight="1" spans="1:9">
      <c r="A287" t="s">
        <v>1255</v>
      </c>
      <c r="B287" t="s">
        <v>658</v>
      </c>
      <c r="C287" t="s">
        <v>429</v>
      </c>
      <c r="D287">
        <v>1</v>
      </c>
      <c r="E287" s="27">
        <v>32.75</v>
      </c>
      <c r="F287" s="28">
        <v>0.15</v>
      </c>
      <c r="G287" s="27">
        <v>27.84</v>
      </c>
      <c r="H287" s="27">
        <v>5.57</v>
      </c>
      <c r="I287" s="27">
        <v>33.41</v>
      </c>
    </row>
    <row r="288" ht="15" customHeight="1" spans="1:9">
      <c r="A288" t="s">
        <v>1256</v>
      </c>
      <c r="B288" t="s">
        <v>658</v>
      </c>
      <c r="C288" t="s">
        <v>454</v>
      </c>
      <c r="D288">
        <v>4</v>
      </c>
      <c r="E288" s="27">
        <v>375.86</v>
      </c>
      <c r="F288" s="28">
        <v>0.05</v>
      </c>
      <c r="G288" s="27">
        <v>1428.27</v>
      </c>
      <c r="H288" s="27">
        <v>285.65</v>
      </c>
      <c r="I288" s="27">
        <v>1713.92</v>
      </c>
    </row>
    <row r="289" ht="15" customHeight="1" spans="1:9">
      <c r="A289" t="s">
        <v>1257</v>
      </c>
      <c r="B289" t="s">
        <v>658</v>
      </c>
      <c r="C289" t="s">
        <v>450</v>
      </c>
      <c r="D289">
        <v>1</v>
      </c>
      <c r="E289" s="27">
        <v>538.29</v>
      </c>
      <c r="F289" s="28">
        <v>0</v>
      </c>
      <c r="G289" s="27">
        <v>538.29</v>
      </c>
      <c r="H289" s="27">
        <v>107.66</v>
      </c>
      <c r="I289" s="27">
        <v>645.95</v>
      </c>
    </row>
    <row r="290" ht="15" customHeight="1" spans="1:9">
      <c r="A290" t="s">
        <v>1258</v>
      </c>
      <c r="B290" t="s">
        <v>659</v>
      </c>
      <c r="C290" t="s">
        <v>444</v>
      </c>
      <c r="D290">
        <v>1</v>
      </c>
      <c r="E290" s="27">
        <v>442.3</v>
      </c>
      <c r="F290" s="28">
        <v>0</v>
      </c>
      <c r="G290" s="27">
        <v>442.3</v>
      </c>
      <c r="H290" s="27">
        <v>88.46</v>
      </c>
      <c r="I290" s="27">
        <v>530.76</v>
      </c>
    </row>
    <row r="291" ht="15" customHeight="1" spans="1:9">
      <c r="A291" t="s">
        <v>1259</v>
      </c>
      <c r="B291" t="s">
        <v>659</v>
      </c>
      <c r="C291" t="s">
        <v>398</v>
      </c>
      <c r="D291">
        <v>2</v>
      </c>
      <c r="E291" s="27">
        <v>383.91</v>
      </c>
      <c r="F291" s="28">
        <v>0</v>
      </c>
      <c r="G291" s="27">
        <v>767.82</v>
      </c>
      <c r="H291" s="27">
        <v>153.56</v>
      </c>
      <c r="I291" s="27">
        <v>921.38</v>
      </c>
    </row>
    <row r="292" ht="15" customHeight="1" spans="1:9">
      <c r="A292" t="s">
        <v>1260</v>
      </c>
      <c r="B292" t="s">
        <v>659</v>
      </c>
      <c r="C292" t="s">
        <v>461</v>
      </c>
      <c r="D292">
        <v>4</v>
      </c>
      <c r="E292" s="27">
        <v>59.83</v>
      </c>
      <c r="F292" s="28">
        <v>0.1</v>
      </c>
      <c r="G292" s="27">
        <v>215.39</v>
      </c>
      <c r="H292" s="27">
        <v>43.08</v>
      </c>
      <c r="I292" s="27">
        <v>258.47</v>
      </c>
    </row>
    <row r="293" ht="15" customHeight="1" spans="1:9">
      <c r="A293" t="s">
        <v>1261</v>
      </c>
      <c r="B293" t="s">
        <v>660</v>
      </c>
      <c r="C293" t="s">
        <v>433</v>
      </c>
      <c r="D293">
        <v>2</v>
      </c>
      <c r="E293" s="27">
        <v>58.14</v>
      </c>
      <c r="F293" s="28">
        <v>0.15</v>
      </c>
      <c r="G293" s="27">
        <v>98.84</v>
      </c>
      <c r="H293" s="27">
        <v>19.77</v>
      </c>
      <c r="I293" s="27">
        <v>118.61</v>
      </c>
    </row>
    <row r="294" ht="15" customHeight="1" spans="1:9">
      <c r="A294" t="s">
        <v>1262</v>
      </c>
      <c r="B294" t="s">
        <v>660</v>
      </c>
      <c r="C294" t="s">
        <v>467</v>
      </c>
      <c r="D294">
        <v>3</v>
      </c>
      <c r="E294" s="27">
        <v>49.53</v>
      </c>
      <c r="F294" s="28">
        <v>0.1</v>
      </c>
      <c r="G294" s="27">
        <v>133.73</v>
      </c>
      <c r="H294" s="27">
        <v>26.75</v>
      </c>
      <c r="I294" s="27">
        <v>160.48</v>
      </c>
    </row>
    <row r="295" ht="15" customHeight="1" spans="1:9">
      <c r="A295" t="s">
        <v>1263</v>
      </c>
      <c r="B295" t="s">
        <v>661</v>
      </c>
      <c r="C295" t="s">
        <v>465</v>
      </c>
      <c r="D295">
        <v>1</v>
      </c>
      <c r="E295" s="27">
        <v>44.16</v>
      </c>
      <c r="F295" s="28">
        <v>0.05</v>
      </c>
      <c r="G295" s="27">
        <v>41.95</v>
      </c>
      <c r="H295" s="27">
        <v>8.39</v>
      </c>
      <c r="I295" s="27">
        <v>50.34</v>
      </c>
    </row>
    <row r="296" ht="15" customHeight="1" spans="1:9">
      <c r="A296" t="s">
        <v>1264</v>
      </c>
      <c r="B296" t="s">
        <v>662</v>
      </c>
      <c r="C296" t="s">
        <v>438</v>
      </c>
      <c r="D296">
        <v>1</v>
      </c>
      <c r="E296" s="27">
        <v>295.97</v>
      </c>
      <c r="F296" s="28">
        <v>0</v>
      </c>
      <c r="G296" s="27">
        <v>295.97</v>
      </c>
      <c r="H296" s="27">
        <v>59.19</v>
      </c>
      <c r="I296" s="27">
        <v>355.16</v>
      </c>
    </row>
    <row r="297" ht="15" customHeight="1" spans="1:9">
      <c r="A297" t="s">
        <v>1265</v>
      </c>
      <c r="B297" t="s">
        <v>662</v>
      </c>
      <c r="C297" t="s">
        <v>414</v>
      </c>
      <c r="D297">
        <v>3</v>
      </c>
      <c r="E297" s="27">
        <v>63.96</v>
      </c>
      <c r="F297" s="28">
        <v>0.1</v>
      </c>
      <c r="G297" s="27">
        <v>172.69</v>
      </c>
      <c r="H297" s="27">
        <v>34.54</v>
      </c>
      <c r="I297" s="27">
        <v>207.23</v>
      </c>
    </row>
    <row r="298" ht="15" customHeight="1" spans="1:9">
      <c r="A298" t="s">
        <v>1266</v>
      </c>
      <c r="B298" t="s">
        <v>663</v>
      </c>
      <c r="C298" t="s">
        <v>440</v>
      </c>
      <c r="D298">
        <v>2</v>
      </c>
      <c r="E298" s="27">
        <v>391.34</v>
      </c>
      <c r="F298" s="28">
        <v>0.05</v>
      </c>
      <c r="G298" s="27">
        <v>743.55</v>
      </c>
      <c r="H298" s="27">
        <v>148.71</v>
      </c>
      <c r="I298" s="27">
        <v>892.26</v>
      </c>
    </row>
    <row r="299" ht="15" customHeight="1" spans="1:9">
      <c r="A299" t="s">
        <v>1267</v>
      </c>
      <c r="B299" t="s">
        <v>663</v>
      </c>
      <c r="C299" t="s">
        <v>463</v>
      </c>
      <c r="D299">
        <v>2</v>
      </c>
      <c r="E299" s="27">
        <v>73.02</v>
      </c>
      <c r="F299" s="28">
        <v>0.15</v>
      </c>
      <c r="G299" s="27">
        <v>124.13</v>
      </c>
      <c r="H299" s="27">
        <v>24.83</v>
      </c>
      <c r="I299" s="27">
        <v>148.96</v>
      </c>
    </row>
    <row r="300" ht="15" customHeight="1" spans="1:9">
      <c r="A300" t="s">
        <v>1268</v>
      </c>
      <c r="B300" t="s">
        <v>663</v>
      </c>
      <c r="C300" t="s">
        <v>431</v>
      </c>
      <c r="D300">
        <v>2</v>
      </c>
      <c r="E300" s="27">
        <v>47.74</v>
      </c>
      <c r="F300" s="28">
        <v>0</v>
      </c>
      <c r="G300" s="27">
        <v>95.48</v>
      </c>
      <c r="H300" s="27">
        <v>19.1</v>
      </c>
      <c r="I300" s="27">
        <v>114.58</v>
      </c>
    </row>
    <row r="301" ht="15" customHeight="1" spans="1:9">
      <c r="A301" t="s">
        <v>1269</v>
      </c>
      <c r="B301" t="s">
        <v>663</v>
      </c>
      <c r="C301" t="s">
        <v>448</v>
      </c>
      <c r="D301">
        <v>1</v>
      </c>
      <c r="E301" s="27">
        <v>543.43</v>
      </c>
      <c r="F301" s="28">
        <v>0</v>
      </c>
      <c r="G301" s="27">
        <v>543.43</v>
      </c>
      <c r="H301" s="27">
        <v>108.69</v>
      </c>
      <c r="I301" s="27">
        <v>652.12</v>
      </c>
    </row>
    <row r="302" ht="15" customHeight="1" spans="1:9">
      <c r="A302" t="s">
        <v>1270</v>
      </c>
      <c r="B302" t="s">
        <v>663</v>
      </c>
      <c r="C302" t="s">
        <v>410</v>
      </c>
      <c r="D302">
        <v>1</v>
      </c>
      <c r="E302" s="27">
        <v>106.93</v>
      </c>
      <c r="F302" s="28">
        <v>0</v>
      </c>
      <c r="G302" s="27">
        <v>106.93</v>
      </c>
      <c r="H302" s="27">
        <v>21.39</v>
      </c>
      <c r="I302" s="27">
        <v>128.32</v>
      </c>
    </row>
    <row r="303" ht="15" customHeight="1" spans="1:9">
      <c r="A303" t="s">
        <v>1271</v>
      </c>
      <c r="B303" t="s">
        <v>664</v>
      </c>
      <c r="C303" t="s">
        <v>408</v>
      </c>
      <c r="D303">
        <v>3</v>
      </c>
      <c r="E303" s="27">
        <v>19.65</v>
      </c>
      <c r="F303" s="28">
        <v>0</v>
      </c>
      <c r="G303" s="27">
        <v>58.95</v>
      </c>
      <c r="H303" s="27">
        <v>11.79</v>
      </c>
      <c r="I303" s="27">
        <v>70.74</v>
      </c>
    </row>
    <row r="304" ht="15" customHeight="1" spans="1:9">
      <c r="A304" t="s">
        <v>1272</v>
      </c>
      <c r="B304" t="s">
        <v>664</v>
      </c>
      <c r="C304" t="s">
        <v>444</v>
      </c>
      <c r="D304">
        <v>3</v>
      </c>
      <c r="E304" s="27">
        <v>442.3</v>
      </c>
      <c r="F304" s="28">
        <v>0</v>
      </c>
      <c r="G304" s="27">
        <v>1326.9</v>
      </c>
      <c r="H304" s="27">
        <v>265.38</v>
      </c>
      <c r="I304" s="27">
        <v>1592.28</v>
      </c>
    </row>
    <row r="305" ht="15" customHeight="1" spans="1:9">
      <c r="A305" t="s">
        <v>1273</v>
      </c>
      <c r="B305" t="s">
        <v>665</v>
      </c>
      <c r="C305" t="s">
        <v>372</v>
      </c>
      <c r="D305">
        <v>1</v>
      </c>
      <c r="E305" s="27">
        <v>216.77</v>
      </c>
      <c r="F305" s="28">
        <v>0</v>
      </c>
      <c r="G305" s="27">
        <v>216.77</v>
      </c>
      <c r="H305" s="27">
        <v>43.35</v>
      </c>
      <c r="I305" s="27">
        <v>260.12</v>
      </c>
    </row>
    <row r="306" ht="15" customHeight="1" spans="1:9">
      <c r="A306" t="s">
        <v>1274</v>
      </c>
      <c r="B306" t="s">
        <v>665</v>
      </c>
      <c r="C306" t="s">
        <v>380</v>
      </c>
      <c r="D306">
        <v>1</v>
      </c>
      <c r="E306" s="27">
        <v>80.3</v>
      </c>
      <c r="F306" s="28">
        <v>0</v>
      </c>
      <c r="G306" s="27">
        <v>80.3</v>
      </c>
      <c r="H306" s="27">
        <v>16.06</v>
      </c>
      <c r="I306" s="27">
        <v>96.36</v>
      </c>
    </row>
    <row r="307" ht="15" customHeight="1" spans="1:9">
      <c r="A307" t="s">
        <v>1275</v>
      </c>
      <c r="B307" t="s">
        <v>665</v>
      </c>
      <c r="C307" t="s">
        <v>475</v>
      </c>
      <c r="D307">
        <v>3</v>
      </c>
      <c r="E307" s="27">
        <v>42</v>
      </c>
      <c r="F307" s="28">
        <v>0</v>
      </c>
      <c r="G307" s="27">
        <v>126</v>
      </c>
      <c r="H307" s="27">
        <v>25.2</v>
      </c>
      <c r="I307" s="27">
        <v>151.2</v>
      </c>
    </row>
    <row r="308" ht="15" customHeight="1" spans="1:9">
      <c r="A308" t="s">
        <v>1276</v>
      </c>
      <c r="B308" t="s">
        <v>665</v>
      </c>
      <c r="C308" t="s">
        <v>471</v>
      </c>
      <c r="D308">
        <v>2</v>
      </c>
      <c r="E308" s="27">
        <v>35.83</v>
      </c>
      <c r="F308" s="28">
        <v>0</v>
      </c>
      <c r="G308" s="27">
        <v>71.66</v>
      </c>
      <c r="H308" s="27">
        <v>14.33</v>
      </c>
      <c r="I308" s="27">
        <v>85.99</v>
      </c>
    </row>
    <row r="309" ht="15" customHeight="1" spans="1:9">
      <c r="A309" t="s">
        <v>1277</v>
      </c>
      <c r="B309" t="s">
        <v>666</v>
      </c>
      <c r="C309" t="s">
        <v>448</v>
      </c>
      <c r="D309">
        <v>1</v>
      </c>
      <c r="E309" s="27">
        <v>543.43</v>
      </c>
      <c r="F309" s="28">
        <v>0</v>
      </c>
      <c r="G309" s="27">
        <v>543.43</v>
      </c>
      <c r="H309" s="27">
        <v>108.69</v>
      </c>
      <c r="I309" s="27">
        <v>652.12</v>
      </c>
    </row>
    <row r="310" ht="15" customHeight="1" spans="1:9">
      <c r="A310" t="s">
        <v>1278</v>
      </c>
      <c r="B310" t="s">
        <v>666</v>
      </c>
      <c r="C310" t="s">
        <v>452</v>
      </c>
      <c r="D310">
        <v>2</v>
      </c>
      <c r="E310" s="27">
        <v>381.57</v>
      </c>
      <c r="F310" s="28">
        <v>0</v>
      </c>
      <c r="G310" s="27">
        <v>763.14</v>
      </c>
      <c r="H310" s="27">
        <v>152.63</v>
      </c>
      <c r="I310" s="27">
        <v>915.77</v>
      </c>
    </row>
    <row r="311" ht="15" customHeight="1" spans="1:9">
      <c r="A311" t="s">
        <v>1279</v>
      </c>
      <c r="B311" t="s">
        <v>666</v>
      </c>
      <c r="C311" t="s">
        <v>467</v>
      </c>
      <c r="D311">
        <v>1</v>
      </c>
      <c r="E311" s="27">
        <v>49.53</v>
      </c>
      <c r="F311" s="28">
        <v>0.1</v>
      </c>
      <c r="G311" s="27">
        <v>44.58</v>
      </c>
      <c r="H311" s="27">
        <v>8.92</v>
      </c>
      <c r="I311" s="27">
        <v>53.5</v>
      </c>
    </row>
    <row r="312" ht="15" customHeight="1" spans="1:9">
      <c r="A312" t="s">
        <v>1280</v>
      </c>
      <c r="B312" t="s">
        <v>667</v>
      </c>
      <c r="C312" t="s">
        <v>459</v>
      </c>
      <c r="D312">
        <v>1</v>
      </c>
      <c r="E312" s="27">
        <v>70.8</v>
      </c>
      <c r="F312" s="28">
        <v>0</v>
      </c>
      <c r="G312" s="27">
        <v>70.8</v>
      </c>
      <c r="H312" s="27">
        <v>14.16</v>
      </c>
      <c r="I312" s="27">
        <v>84.96</v>
      </c>
    </row>
    <row r="313" ht="15" customHeight="1" spans="1:9">
      <c r="A313" t="s">
        <v>1281</v>
      </c>
      <c r="B313" t="s">
        <v>667</v>
      </c>
      <c r="C313" t="s">
        <v>404</v>
      </c>
      <c r="D313">
        <v>1</v>
      </c>
      <c r="E313" s="27">
        <v>30.09</v>
      </c>
      <c r="F313" s="28">
        <v>0</v>
      </c>
      <c r="G313" s="27">
        <v>30.09</v>
      </c>
      <c r="H313" s="27">
        <v>6.02</v>
      </c>
      <c r="I313" s="27">
        <v>36.11</v>
      </c>
    </row>
    <row r="314" ht="15" customHeight="1" spans="1:9">
      <c r="A314" t="s">
        <v>1282</v>
      </c>
      <c r="B314" t="s">
        <v>667</v>
      </c>
      <c r="C314" t="s">
        <v>404</v>
      </c>
      <c r="D314">
        <v>3</v>
      </c>
      <c r="E314" s="27">
        <v>30.09</v>
      </c>
      <c r="F314" s="28">
        <v>0.15</v>
      </c>
      <c r="G314" s="27">
        <v>76.73</v>
      </c>
      <c r="H314" s="27">
        <v>15.35</v>
      </c>
      <c r="I314" s="27">
        <v>92.08</v>
      </c>
    </row>
    <row r="315" ht="15" customHeight="1" spans="1:9">
      <c r="A315" t="s">
        <v>1283</v>
      </c>
      <c r="B315" t="s">
        <v>667</v>
      </c>
      <c r="C315" t="s">
        <v>425</v>
      </c>
      <c r="D315">
        <v>2</v>
      </c>
      <c r="E315" s="27">
        <v>36.08</v>
      </c>
      <c r="F315" s="28">
        <v>0.1</v>
      </c>
      <c r="G315" s="27">
        <v>64.94</v>
      </c>
      <c r="H315" s="27">
        <v>12.99</v>
      </c>
      <c r="I315" s="27">
        <v>77.93</v>
      </c>
    </row>
    <row r="316" ht="15" customHeight="1" spans="1:9">
      <c r="A316" t="s">
        <v>1284</v>
      </c>
      <c r="B316" t="s">
        <v>667</v>
      </c>
      <c r="C316" t="s">
        <v>456</v>
      </c>
      <c r="D316">
        <v>1</v>
      </c>
      <c r="E316" s="27">
        <v>62.13</v>
      </c>
      <c r="F316" s="28">
        <v>0.05</v>
      </c>
      <c r="G316" s="27">
        <v>59.02</v>
      </c>
      <c r="H316" s="27">
        <v>11.8</v>
      </c>
      <c r="I316" s="27">
        <v>70.82</v>
      </c>
    </row>
    <row r="317" ht="15" customHeight="1" spans="1:9">
      <c r="A317" t="s">
        <v>1285</v>
      </c>
      <c r="B317" t="s">
        <v>668</v>
      </c>
      <c r="C317" t="s">
        <v>438</v>
      </c>
      <c r="D317">
        <v>1</v>
      </c>
      <c r="E317" s="27">
        <v>295.97</v>
      </c>
      <c r="F317" s="28">
        <v>0</v>
      </c>
      <c r="G317" s="27">
        <v>295.97</v>
      </c>
      <c r="H317" s="27">
        <v>59.19</v>
      </c>
      <c r="I317" s="27">
        <v>355.16</v>
      </c>
    </row>
    <row r="318" ht="15" customHeight="1" spans="1:9">
      <c r="A318" t="s">
        <v>1286</v>
      </c>
      <c r="B318" t="s">
        <v>668</v>
      </c>
      <c r="C318" t="s">
        <v>475</v>
      </c>
      <c r="D318">
        <v>3</v>
      </c>
      <c r="E318" s="27">
        <v>42</v>
      </c>
      <c r="F318" s="28">
        <v>0</v>
      </c>
      <c r="G318" s="27">
        <v>126</v>
      </c>
      <c r="H318" s="27">
        <v>25.2</v>
      </c>
      <c r="I318" s="27">
        <v>151.2</v>
      </c>
    </row>
    <row r="319" ht="15" customHeight="1" spans="1:9">
      <c r="A319" t="s">
        <v>1287</v>
      </c>
      <c r="B319" t="s">
        <v>669</v>
      </c>
      <c r="C319" t="s">
        <v>400</v>
      </c>
      <c r="D319">
        <v>2</v>
      </c>
      <c r="E319" s="27">
        <v>328.03</v>
      </c>
      <c r="F319" s="28">
        <v>0</v>
      </c>
      <c r="G319" s="27">
        <v>656.06</v>
      </c>
      <c r="H319" s="27">
        <v>131.21</v>
      </c>
      <c r="I319" s="27">
        <v>787.27</v>
      </c>
    </row>
    <row r="320" ht="15" customHeight="1" spans="1:9">
      <c r="A320" t="s">
        <v>1288</v>
      </c>
      <c r="B320" t="s">
        <v>669</v>
      </c>
      <c r="C320" t="s">
        <v>410</v>
      </c>
      <c r="D320">
        <v>1</v>
      </c>
      <c r="E320" s="27">
        <v>106.93</v>
      </c>
      <c r="F320" s="28">
        <v>0.1</v>
      </c>
      <c r="G320" s="27">
        <v>96.24</v>
      </c>
      <c r="H320" s="27">
        <v>19.25</v>
      </c>
      <c r="I320" s="27">
        <v>115.49</v>
      </c>
    </row>
    <row r="321" ht="15" customHeight="1" spans="1:9">
      <c r="A321" t="s">
        <v>1289</v>
      </c>
      <c r="B321" t="s">
        <v>669</v>
      </c>
      <c r="C321" t="s">
        <v>389</v>
      </c>
      <c r="D321">
        <v>2</v>
      </c>
      <c r="E321" s="27">
        <v>120.37</v>
      </c>
      <c r="F321" s="28">
        <v>0.05</v>
      </c>
      <c r="G321" s="27">
        <v>228.7</v>
      </c>
      <c r="H321" s="27">
        <v>45.74</v>
      </c>
      <c r="I321" s="27">
        <v>274.44</v>
      </c>
    </row>
    <row r="322" ht="15" customHeight="1" spans="1:9">
      <c r="A322" t="s">
        <v>1290</v>
      </c>
      <c r="B322" t="s">
        <v>669</v>
      </c>
      <c r="C322" t="s">
        <v>417</v>
      </c>
      <c r="D322">
        <v>4</v>
      </c>
      <c r="E322" s="27">
        <v>59.79</v>
      </c>
      <c r="F322" s="28">
        <v>0</v>
      </c>
      <c r="G322" s="27">
        <v>239.16</v>
      </c>
      <c r="H322" s="27">
        <v>47.83</v>
      </c>
      <c r="I322" s="27">
        <v>286.99</v>
      </c>
    </row>
    <row r="323" ht="15" customHeight="1" spans="1:9">
      <c r="A323" t="s">
        <v>1291</v>
      </c>
      <c r="B323" t="s">
        <v>669</v>
      </c>
      <c r="C323" t="s">
        <v>372</v>
      </c>
      <c r="D323">
        <v>1</v>
      </c>
      <c r="E323" s="27">
        <v>216.77</v>
      </c>
      <c r="F323" s="28">
        <v>0.05</v>
      </c>
      <c r="G323" s="27">
        <v>205.93</v>
      </c>
      <c r="H323" s="27">
        <v>41.19</v>
      </c>
      <c r="I323" s="27">
        <v>247.12</v>
      </c>
    </row>
    <row r="324" ht="15" customHeight="1" spans="1:9">
      <c r="A324" t="s">
        <v>1292</v>
      </c>
      <c r="B324" t="s">
        <v>670</v>
      </c>
      <c r="C324" t="s">
        <v>389</v>
      </c>
      <c r="D324">
        <v>4</v>
      </c>
      <c r="E324" s="27">
        <v>120.37</v>
      </c>
      <c r="F324" s="28">
        <v>0</v>
      </c>
      <c r="G324" s="27">
        <v>481.48</v>
      </c>
      <c r="H324" s="27">
        <v>96.3</v>
      </c>
      <c r="I324" s="27">
        <v>577.78</v>
      </c>
    </row>
    <row r="325" ht="15" customHeight="1" spans="1:9">
      <c r="A325" t="s">
        <v>1293</v>
      </c>
      <c r="B325" t="s">
        <v>670</v>
      </c>
      <c r="C325" t="s">
        <v>393</v>
      </c>
      <c r="D325">
        <v>4</v>
      </c>
      <c r="E325" s="27">
        <v>196.18</v>
      </c>
      <c r="F325" s="28">
        <v>0</v>
      </c>
      <c r="G325" s="27">
        <v>784.72</v>
      </c>
      <c r="H325" s="27">
        <v>156.94</v>
      </c>
      <c r="I325" s="27">
        <v>941.66</v>
      </c>
    </row>
    <row r="326" ht="15" customHeight="1" spans="1:9">
      <c r="A326" t="s">
        <v>1294</v>
      </c>
      <c r="B326" t="s">
        <v>670</v>
      </c>
      <c r="C326" t="s">
        <v>380</v>
      </c>
      <c r="D326">
        <v>2</v>
      </c>
      <c r="E326" s="27">
        <v>80.3</v>
      </c>
      <c r="F326" s="28">
        <v>0</v>
      </c>
      <c r="G326" s="27">
        <v>160.6</v>
      </c>
      <c r="H326" s="27">
        <v>32.12</v>
      </c>
      <c r="I326" s="27">
        <v>192.72</v>
      </c>
    </row>
    <row r="327" ht="15" customHeight="1" spans="1:9">
      <c r="A327" t="s">
        <v>1295</v>
      </c>
      <c r="B327" t="s">
        <v>670</v>
      </c>
      <c r="C327" t="s">
        <v>380</v>
      </c>
      <c r="D327">
        <v>1</v>
      </c>
      <c r="E327" s="27">
        <v>80.3</v>
      </c>
      <c r="F327" s="28">
        <v>0.15</v>
      </c>
      <c r="G327" s="27">
        <v>68.25</v>
      </c>
      <c r="H327" s="27">
        <v>13.65</v>
      </c>
      <c r="I327" s="27">
        <v>81.9</v>
      </c>
    </row>
    <row r="328" ht="15" customHeight="1" spans="1:9">
      <c r="A328" t="s">
        <v>1296</v>
      </c>
      <c r="B328" t="s">
        <v>670</v>
      </c>
      <c r="C328" t="s">
        <v>393</v>
      </c>
      <c r="D328">
        <v>1</v>
      </c>
      <c r="E328" s="27">
        <v>196.18</v>
      </c>
      <c r="F328" s="28">
        <v>0.15</v>
      </c>
      <c r="G328" s="27">
        <v>166.75</v>
      </c>
      <c r="H328" s="27">
        <v>33.35</v>
      </c>
      <c r="I328" s="27">
        <v>200.1</v>
      </c>
    </row>
    <row r="329" ht="15" customHeight="1" spans="1:9">
      <c r="A329" t="s">
        <v>1297</v>
      </c>
      <c r="B329" t="s">
        <v>671</v>
      </c>
      <c r="C329" t="s">
        <v>377</v>
      </c>
      <c r="D329">
        <v>1</v>
      </c>
      <c r="E329" s="27">
        <v>84.94</v>
      </c>
      <c r="F329" s="28">
        <v>0</v>
      </c>
      <c r="G329" s="27">
        <v>84.94</v>
      </c>
      <c r="H329" s="27">
        <v>16.99</v>
      </c>
      <c r="I329" s="27">
        <v>101.93</v>
      </c>
    </row>
    <row r="330" ht="15" customHeight="1" spans="1:9">
      <c r="A330" t="s">
        <v>1298</v>
      </c>
      <c r="B330" t="s">
        <v>672</v>
      </c>
      <c r="C330" t="s">
        <v>429</v>
      </c>
      <c r="D330">
        <v>2</v>
      </c>
      <c r="E330" s="27">
        <v>32.75</v>
      </c>
      <c r="F330" s="28">
        <v>0.05</v>
      </c>
      <c r="G330" s="27">
        <v>62.22</v>
      </c>
      <c r="H330" s="27">
        <v>12.44</v>
      </c>
      <c r="I330" s="27">
        <v>74.66</v>
      </c>
    </row>
    <row r="331" ht="15" customHeight="1" spans="1:9">
      <c r="A331" t="s">
        <v>1299</v>
      </c>
      <c r="B331" t="s">
        <v>672</v>
      </c>
      <c r="C331" t="s">
        <v>377</v>
      </c>
      <c r="D331">
        <v>1</v>
      </c>
      <c r="E331" s="27">
        <v>84.94</v>
      </c>
      <c r="F331" s="28">
        <v>0</v>
      </c>
      <c r="G331" s="27">
        <v>84.94</v>
      </c>
      <c r="H331" s="27">
        <v>16.99</v>
      </c>
      <c r="I331" s="27">
        <v>101.93</v>
      </c>
    </row>
    <row r="332" ht="15" customHeight="1" spans="1:9">
      <c r="A332" t="s">
        <v>1300</v>
      </c>
      <c r="B332" t="s">
        <v>672</v>
      </c>
      <c r="C332" t="s">
        <v>469</v>
      </c>
      <c r="D332">
        <v>3</v>
      </c>
      <c r="E332" s="27">
        <v>30.71</v>
      </c>
      <c r="F332" s="28">
        <v>0</v>
      </c>
      <c r="G332" s="27">
        <v>92.13</v>
      </c>
      <c r="H332" s="27">
        <v>18.43</v>
      </c>
      <c r="I332" s="27">
        <v>110.56</v>
      </c>
    </row>
    <row r="333" ht="15" customHeight="1" spans="1:9">
      <c r="A333" t="s">
        <v>1301</v>
      </c>
      <c r="B333" t="s">
        <v>672</v>
      </c>
      <c r="C333" t="s">
        <v>414</v>
      </c>
      <c r="D333">
        <v>1</v>
      </c>
      <c r="E333" s="27">
        <v>63.96</v>
      </c>
      <c r="F333" s="28">
        <v>0</v>
      </c>
      <c r="G333" s="27">
        <v>63.96</v>
      </c>
      <c r="H333" s="27">
        <v>12.79</v>
      </c>
      <c r="I333" s="27">
        <v>76.75</v>
      </c>
    </row>
    <row r="334" ht="15" customHeight="1" spans="1:9">
      <c r="A334" t="s">
        <v>1302</v>
      </c>
      <c r="B334" t="s">
        <v>672</v>
      </c>
      <c r="C334" t="s">
        <v>389</v>
      </c>
      <c r="D334">
        <v>1</v>
      </c>
      <c r="E334" s="27">
        <v>120.37</v>
      </c>
      <c r="F334" s="28">
        <v>0</v>
      </c>
      <c r="G334" s="27">
        <v>120.37</v>
      </c>
      <c r="H334" s="27">
        <v>24.07</v>
      </c>
      <c r="I334" s="27">
        <v>144.44</v>
      </c>
    </row>
    <row r="335" ht="15" customHeight="1" spans="1:9">
      <c r="A335" t="s">
        <v>1303</v>
      </c>
      <c r="B335" t="s">
        <v>673</v>
      </c>
      <c r="C335" t="s">
        <v>469</v>
      </c>
      <c r="D335">
        <v>1</v>
      </c>
      <c r="E335" s="27">
        <v>30.71</v>
      </c>
      <c r="F335" s="28">
        <v>0.15</v>
      </c>
      <c r="G335" s="27">
        <v>26.1</v>
      </c>
      <c r="H335" s="27">
        <v>5.22</v>
      </c>
      <c r="I335" s="27">
        <v>31.32</v>
      </c>
    </row>
    <row r="336" ht="15" customHeight="1" spans="1:9">
      <c r="A336" t="s">
        <v>1304</v>
      </c>
      <c r="B336" t="s">
        <v>673</v>
      </c>
      <c r="C336" t="s">
        <v>391</v>
      </c>
      <c r="D336">
        <v>4</v>
      </c>
      <c r="E336" s="27">
        <v>138.13</v>
      </c>
      <c r="F336" s="28">
        <v>0.1</v>
      </c>
      <c r="G336" s="27">
        <v>497.27</v>
      </c>
      <c r="H336" s="27">
        <v>99.45</v>
      </c>
      <c r="I336" s="27">
        <v>596.72</v>
      </c>
    </row>
    <row r="337" ht="15" customHeight="1" spans="1:9">
      <c r="A337" t="s">
        <v>1305</v>
      </c>
      <c r="B337" t="s">
        <v>674</v>
      </c>
      <c r="C337" t="s">
        <v>423</v>
      </c>
      <c r="D337">
        <v>1</v>
      </c>
      <c r="E337" s="27">
        <v>46.02</v>
      </c>
      <c r="F337" s="28">
        <v>0.05</v>
      </c>
      <c r="G337" s="27">
        <v>43.72</v>
      </c>
      <c r="H337" s="27">
        <v>8.74</v>
      </c>
      <c r="I337" s="27">
        <v>52.46</v>
      </c>
    </row>
    <row r="338" ht="15" customHeight="1" spans="1:9">
      <c r="A338" t="s">
        <v>1306</v>
      </c>
      <c r="B338" t="s">
        <v>674</v>
      </c>
      <c r="C338" t="s">
        <v>414</v>
      </c>
      <c r="D338">
        <v>3</v>
      </c>
      <c r="E338" s="27">
        <v>63.96</v>
      </c>
      <c r="F338" s="28">
        <v>0</v>
      </c>
      <c r="G338" s="27">
        <v>191.88</v>
      </c>
      <c r="H338" s="27">
        <v>38.38</v>
      </c>
      <c r="I338" s="27">
        <v>230.26</v>
      </c>
    </row>
    <row r="339" ht="15" customHeight="1" spans="1:9">
      <c r="A339" t="s">
        <v>1307</v>
      </c>
      <c r="B339" t="s">
        <v>675</v>
      </c>
      <c r="C339" t="s">
        <v>461</v>
      </c>
      <c r="D339">
        <v>4</v>
      </c>
      <c r="E339" s="27">
        <v>59.83</v>
      </c>
      <c r="F339" s="28">
        <v>0</v>
      </c>
      <c r="G339" s="27">
        <v>239.32</v>
      </c>
      <c r="H339" s="27">
        <v>47.86</v>
      </c>
      <c r="I339" s="27">
        <v>287.18</v>
      </c>
    </row>
    <row r="340" ht="15" customHeight="1" spans="1:9">
      <c r="A340" t="s">
        <v>1308</v>
      </c>
      <c r="B340" t="s">
        <v>675</v>
      </c>
      <c r="C340" t="s">
        <v>442</v>
      </c>
      <c r="D340">
        <v>2</v>
      </c>
      <c r="E340" s="27">
        <v>374.59</v>
      </c>
      <c r="F340" s="28">
        <v>0</v>
      </c>
      <c r="G340" s="27">
        <v>749.18</v>
      </c>
      <c r="H340" s="27">
        <v>149.84</v>
      </c>
      <c r="I340" s="27">
        <v>899.02</v>
      </c>
    </row>
    <row r="341" ht="15" customHeight="1" spans="1:9">
      <c r="A341" t="s">
        <v>1309</v>
      </c>
      <c r="B341" t="s">
        <v>675</v>
      </c>
      <c r="C341" t="s">
        <v>471</v>
      </c>
      <c r="D341">
        <v>1</v>
      </c>
      <c r="E341" s="27">
        <v>35.83</v>
      </c>
      <c r="F341" s="28">
        <v>0.15</v>
      </c>
      <c r="G341" s="27">
        <v>30.46</v>
      </c>
      <c r="H341" s="27">
        <v>6.09</v>
      </c>
      <c r="I341" s="27">
        <v>36.55</v>
      </c>
    </row>
    <row r="342" ht="15" customHeight="1" spans="1:9">
      <c r="A342" t="s">
        <v>1310</v>
      </c>
      <c r="B342" t="s">
        <v>676</v>
      </c>
      <c r="C342" t="s">
        <v>377</v>
      </c>
      <c r="D342">
        <v>2</v>
      </c>
      <c r="E342" s="27">
        <v>84.94</v>
      </c>
      <c r="F342" s="28">
        <v>0</v>
      </c>
      <c r="G342" s="27">
        <v>169.88</v>
      </c>
      <c r="H342" s="27">
        <v>33.98</v>
      </c>
      <c r="I342" s="27">
        <v>203.86</v>
      </c>
    </row>
    <row r="343" ht="15" customHeight="1" spans="1:9">
      <c r="A343" t="s">
        <v>1311</v>
      </c>
      <c r="B343" t="s">
        <v>676</v>
      </c>
      <c r="C343" t="s">
        <v>421</v>
      </c>
      <c r="D343">
        <v>5</v>
      </c>
      <c r="E343" s="27">
        <v>78.78</v>
      </c>
      <c r="F343" s="28">
        <v>0</v>
      </c>
      <c r="G343" s="27">
        <v>393.9</v>
      </c>
      <c r="H343" s="27">
        <v>78.78</v>
      </c>
      <c r="I343" s="27">
        <v>472.68</v>
      </c>
    </row>
    <row r="344" ht="15" customHeight="1" spans="1:9">
      <c r="A344" t="s">
        <v>1312</v>
      </c>
      <c r="B344" t="s">
        <v>677</v>
      </c>
      <c r="C344" t="s">
        <v>475</v>
      </c>
      <c r="D344">
        <v>1</v>
      </c>
      <c r="E344" s="27">
        <v>42</v>
      </c>
      <c r="F344" s="28">
        <v>0.1</v>
      </c>
      <c r="G344" s="27">
        <v>37.8</v>
      </c>
      <c r="H344" s="27">
        <v>7.56</v>
      </c>
      <c r="I344" s="27">
        <v>45.36</v>
      </c>
    </row>
    <row r="345" ht="15" customHeight="1" spans="1:9">
      <c r="A345" t="s">
        <v>1313</v>
      </c>
      <c r="B345" t="s">
        <v>677</v>
      </c>
      <c r="C345" t="s">
        <v>377</v>
      </c>
      <c r="D345">
        <v>1</v>
      </c>
      <c r="E345" s="27">
        <v>84.94</v>
      </c>
      <c r="F345" s="28">
        <v>0</v>
      </c>
      <c r="G345" s="27">
        <v>84.94</v>
      </c>
      <c r="H345" s="27">
        <v>16.99</v>
      </c>
      <c r="I345" s="27">
        <v>101.93</v>
      </c>
    </row>
    <row r="346" ht="15" customHeight="1" spans="1:9">
      <c r="A346" t="s">
        <v>1314</v>
      </c>
      <c r="B346" t="s">
        <v>677</v>
      </c>
      <c r="C346" t="s">
        <v>372</v>
      </c>
      <c r="D346">
        <v>5</v>
      </c>
      <c r="E346" s="27">
        <v>216.77</v>
      </c>
      <c r="F346" s="28">
        <v>0.05</v>
      </c>
      <c r="G346" s="27">
        <v>1029.66</v>
      </c>
      <c r="H346" s="27">
        <v>205.93</v>
      </c>
      <c r="I346" s="27">
        <v>1235.59</v>
      </c>
    </row>
    <row r="347" ht="15" customHeight="1" spans="1:9">
      <c r="A347" t="s">
        <v>1315</v>
      </c>
      <c r="B347" t="s">
        <v>677</v>
      </c>
      <c r="C347" t="s">
        <v>440</v>
      </c>
      <c r="D347">
        <v>1</v>
      </c>
      <c r="E347" s="27">
        <v>391.34</v>
      </c>
      <c r="F347" s="28">
        <v>0.15</v>
      </c>
      <c r="G347" s="27">
        <v>332.64</v>
      </c>
      <c r="H347" s="27">
        <v>66.53</v>
      </c>
      <c r="I347" s="27">
        <v>399.17</v>
      </c>
    </row>
    <row r="348" ht="15" customHeight="1" spans="1:9">
      <c r="A348" t="s">
        <v>1316</v>
      </c>
      <c r="B348" t="s">
        <v>677</v>
      </c>
      <c r="C348" t="s">
        <v>440</v>
      </c>
      <c r="D348">
        <v>3</v>
      </c>
      <c r="E348" s="27">
        <v>391.34</v>
      </c>
      <c r="F348" s="28">
        <v>0.05</v>
      </c>
      <c r="G348" s="27">
        <v>1115.32</v>
      </c>
      <c r="H348" s="27">
        <v>223.06</v>
      </c>
      <c r="I348" s="27">
        <v>1338.38</v>
      </c>
    </row>
    <row r="349" ht="15" customHeight="1" spans="1:9">
      <c r="A349" t="s">
        <v>1317</v>
      </c>
      <c r="B349" t="s">
        <v>678</v>
      </c>
      <c r="C349" t="s">
        <v>400</v>
      </c>
      <c r="D349">
        <v>8</v>
      </c>
      <c r="E349" s="27">
        <v>328.03</v>
      </c>
      <c r="F349" s="28">
        <v>0</v>
      </c>
      <c r="G349" s="27">
        <v>2624.24</v>
      </c>
      <c r="H349" s="27">
        <v>524.85</v>
      </c>
      <c r="I349" s="27">
        <v>3149.09</v>
      </c>
    </row>
    <row r="350" ht="15" customHeight="1" spans="1:9">
      <c r="A350" t="s">
        <v>1318</v>
      </c>
      <c r="B350" t="s">
        <v>678</v>
      </c>
      <c r="C350" t="s">
        <v>444</v>
      </c>
      <c r="D350">
        <v>1</v>
      </c>
      <c r="E350" s="27">
        <v>442.3</v>
      </c>
      <c r="F350" s="28">
        <v>0.1</v>
      </c>
      <c r="G350" s="27">
        <v>398.07</v>
      </c>
      <c r="H350" s="27">
        <v>79.61</v>
      </c>
      <c r="I350" s="27">
        <v>477.68</v>
      </c>
    </row>
    <row r="351" ht="15" customHeight="1" spans="1:9">
      <c r="A351" t="s">
        <v>1319</v>
      </c>
      <c r="B351" t="s">
        <v>679</v>
      </c>
      <c r="C351" t="s">
        <v>429</v>
      </c>
      <c r="D351">
        <v>1</v>
      </c>
      <c r="E351" s="27">
        <v>32.75</v>
      </c>
      <c r="F351" s="28">
        <v>0.1</v>
      </c>
      <c r="G351" s="27">
        <v>29.48</v>
      </c>
      <c r="H351" s="27">
        <v>5.9</v>
      </c>
      <c r="I351" s="27">
        <v>35.38</v>
      </c>
    </row>
    <row r="352" ht="15" customHeight="1" spans="1:9">
      <c r="A352" t="s">
        <v>1320</v>
      </c>
      <c r="B352" t="s">
        <v>680</v>
      </c>
      <c r="C352" t="s">
        <v>419</v>
      </c>
      <c r="D352">
        <v>2</v>
      </c>
      <c r="E352" s="27">
        <v>100.34</v>
      </c>
      <c r="F352" s="28">
        <v>0.15</v>
      </c>
      <c r="G352" s="27">
        <v>170.58</v>
      </c>
      <c r="H352" s="27">
        <v>34.12</v>
      </c>
      <c r="I352" s="27">
        <v>204.7</v>
      </c>
    </row>
    <row r="353" ht="15" customHeight="1" spans="1:9">
      <c r="A353" t="s">
        <v>1321</v>
      </c>
      <c r="B353" t="s">
        <v>681</v>
      </c>
      <c r="C353" t="s">
        <v>370</v>
      </c>
      <c r="D353">
        <v>1</v>
      </c>
      <c r="E353" s="27">
        <v>970.58</v>
      </c>
      <c r="F353" s="28">
        <v>0.05</v>
      </c>
      <c r="G353" s="27">
        <v>922.05</v>
      </c>
      <c r="H353" s="27">
        <v>184.41</v>
      </c>
      <c r="I353" s="27">
        <v>1106.46</v>
      </c>
    </row>
    <row r="354" ht="15" customHeight="1" spans="1:9">
      <c r="A354" t="s">
        <v>1322</v>
      </c>
      <c r="B354" t="s">
        <v>681</v>
      </c>
      <c r="C354" t="s">
        <v>408</v>
      </c>
      <c r="D354">
        <v>2</v>
      </c>
      <c r="E354" s="27">
        <v>19.65</v>
      </c>
      <c r="F354" s="28">
        <v>0</v>
      </c>
      <c r="G354" s="27">
        <v>39.3</v>
      </c>
      <c r="H354" s="27">
        <v>7.86</v>
      </c>
      <c r="I354" s="27">
        <v>47.16</v>
      </c>
    </row>
    <row r="355" ht="15" customHeight="1" spans="1:9">
      <c r="A355" t="s">
        <v>1323</v>
      </c>
      <c r="B355" t="s">
        <v>681</v>
      </c>
      <c r="C355" t="s">
        <v>467</v>
      </c>
      <c r="D355">
        <v>8</v>
      </c>
      <c r="E355" s="27">
        <v>49.53</v>
      </c>
      <c r="F355" s="28">
        <v>0.15</v>
      </c>
      <c r="G355" s="27">
        <v>336.8</v>
      </c>
      <c r="H355" s="27">
        <v>67.36</v>
      </c>
      <c r="I355" s="27">
        <v>404.16</v>
      </c>
    </row>
    <row r="356" ht="15" customHeight="1" spans="1:9">
      <c r="A356" t="s">
        <v>1324</v>
      </c>
      <c r="B356" t="s">
        <v>682</v>
      </c>
      <c r="C356" t="s">
        <v>475</v>
      </c>
      <c r="D356">
        <v>1</v>
      </c>
      <c r="E356" s="27">
        <v>42</v>
      </c>
      <c r="F356" s="28">
        <v>0.1</v>
      </c>
      <c r="G356" s="27">
        <v>37.8</v>
      </c>
      <c r="H356" s="27">
        <v>7.56</v>
      </c>
      <c r="I356" s="27">
        <v>45.36</v>
      </c>
    </row>
    <row r="357" ht="15" customHeight="1" spans="1:9">
      <c r="A357" t="s">
        <v>1325</v>
      </c>
      <c r="B357" t="s">
        <v>683</v>
      </c>
      <c r="C357" t="s">
        <v>366</v>
      </c>
      <c r="D357">
        <v>1</v>
      </c>
      <c r="E357" s="27">
        <v>1103.64</v>
      </c>
      <c r="F357" s="28">
        <v>0.05</v>
      </c>
      <c r="G357" s="27">
        <v>1048.46</v>
      </c>
      <c r="H357" s="27">
        <v>209.69</v>
      </c>
      <c r="I357" s="27">
        <v>1258.15</v>
      </c>
    </row>
    <row r="358" ht="15" customHeight="1" spans="1:9">
      <c r="A358" t="s">
        <v>1326</v>
      </c>
      <c r="B358" t="s">
        <v>683</v>
      </c>
      <c r="C358" t="s">
        <v>421</v>
      </c>
      <c r="D358">
        <v>1</v>
      </c>
      <c r="E358" s="27">
        <v>78.78</v>
      </c>
      <c r="F358" s="28">
        <v>0</v>
      </c>
      <c r="G358" s="27">
        <v>78.78</v>
      </c>
      <c r="H358" s="27">
        <v>15.76</v>
      </c>
      <c r="I358" s="27">
        <v>94.54</v>
      </c>
    </row>
    <row r="359" ht="15" customHeight="1" spans="1:9">
      <c r="A359" t="s">
        <v>1327</v>
      </c>
      <c r="B359" t="s">
        <v>683</v>
      </c>
      <c r="C359" t="s">
        <v>396</v>
      </c>
      <c r="D359">
        <v>5</v>
      </c>
      <c r="E359" s="27">
        <v>225.64</v>
      </c>
      <c r="F359" s="28">
        <v>0</v>
      </c>
      <c r="G359" s="27">
        <v>1128.2</v>
      </c>
      <c r="H359" s="27">
        <v>225.64</v>
      </c>
      <c r="I359" s="27">
        <v>1353.84</v>
      </c>
    </row>
    <row r="360" ht="15" customHeight="1" spans="1:9">
      <c r="A360" t="s">
        <v>1328</v>
      </c>
      <c r="B360" t="s">
        <v>683</v>
      </c>
      <c r="C360" t="s">
        <v>446</v>
      </c>
      <c r="D360">
        <v>3</v>
      </c>
      <c r="E360" s="27">
        <v>454.43</v>
      </c>
      <c r="F360" s="28">
        <v>0.15</v>
      </c>
      <c r="G360" s="27">
        <v>1158.8</v>
      </c>
      <c r="H360" s="27">
        <v>231.76</v>
      </c>
      <c r="I360" s="27">
        <v>1390.56</v>
      </c>
    </row>
    <row r="361" ht="15" customHeight="1" spans="1:9">
      <c r="A361" t="s">
        <v>1329</v>
      </c>
      <c r="B361" t="s">
        <v>684</v>
      </c>
      <c r="C361" t="s">
        <v>448</v>
      </c>
      <c r="D361">
        <v>1</v>
      </c>
      <c r="E361" s="27">
        <v>543.43</v>
      </c>
      <c r="F361" s="28">
        <v>0.1</v>
      </c>
      <c r="G361" s="27">
        <v>489.09</v>
      </c>
      <c r="H361" s="27">
        <v>97.82</v>
      </c>
      <c r="I361" s="27">
        <v>586.91</v>
      </c>
    </row>
    <row r="362" ht="15" customHeight="1" spans="1:9">
      <c r="A362" t="s">
        <v>1330</v>
      </c>
      <c r="B362" t="s">
        <v>684</v>
      </c>
      <c r="C362" t="s">
        <v>463</v>
      </c>
      <c r="D362">
        <v>4</v>
      </c>
      <c r="E362" s="27">
        <v>73.02</v>
      </c>
      <c r="F362" s="28">
        <v>0</v>
      </c>
      <c r="G362" s="27">
        <v>292.08</v>
      </c>
      <c r="H362" s="27">
        <v>58.42</v>
      </c>
      <c r="I362" s="27">
        <v>350.5</v>
      </c>
    </row>
    <row r="363" ht="15" customHeight="1" spans="1:9">
      <c r="A363" t="s">
        <v>1331</v>
      </c>
      <c r="B363" t="s">
        <v>684</v>
      </c>
      <c r="C363" t="s">
        <v>402</v>
      </c>
      <c r="D363">
        <v>3</v>
      </c>
      <c r="E363" s="27">
        <v>26.57</v>
      </c>
      <c r="F363" s="28">
        <v>0</v>
      </c>
      <c r="G363" s="27">
        <v>79.71</v>
      </c>
      <c r="H363" s="27">
        <v>15.94</v>
      </c>
      <c r="I363" s="27">
        <v>95.65</v>
      </c>
    </row>
    <row r="364" ht="15" customHeight="1" spans="1:9">
      <c r="A364" t="s">
        <v>1332</v>
      </c>
      <c r="B364" t="s">
        <v>685</v>
      </c>
      <c r="C364" t="s">
        <v>433</v>
      </c>
      <c r="D364">
        <v>1</v>
      </c>
      <c r="E364" s="27">
        <v>58.14</v>
      </c>
      <c r="F364" s="28">
        <v>0</v>
      </c>
      <c r="G364" s="27">
        <v>58.14</v>
      </c>
      <c r="H364" s="27">
        <v>11.63</v>
      </c>
      <c r="I364" s="27">
        <v>69.77</v>
      </c>
    </row>
    <row r="365" ht="15" customHeight="1" spans="1:9">
      <c r="A365" t="s">
        <v>1333</v>
      </c>
      <c r="B365" t="s">
        <v>686</v>
      </c>
      <c r="C365" t="s">
        <v>444</v>
      </c>
      <c r="D365">
        <v>3</v>
      </c>
      <c r="E365" s="27">
        <v>442.3</v>
      </c>
      <c r="F365" s="28">
        <v>0</v>
      </c>
      <c r="G365" s="27">
        <v>1326.9</v>
      </c>
      <c r="H365" s="27">
        <v>265.38</v>
      </c>
      <c r="I365" s="27">
        <v>1592.28</v>
      </c>
    </row>
    <row r="366" ht="15" customHeight="1" spans="1:9">
      <c r="A366" t="s">
        <v>1334</v>
      </c>
      <c r="B366" t="s">
        <v>686</v>
      </c>
      <c r="C366" t="s">
        <v>391</v>
      </c>
      <c r="D366">
        <v>1</v>
      </c>
      <c r="E366" s="27">
        <v>138.13</v>
      </c>
      <c r="F366" s="28">
        <v>0.05</v>
      </c>
      <c r="G366" s="27">
        <v>131.22</v>
      </c>
      <c r="H366" s="27">
        <v>26.24</v>
      </c>
      <c r="I366" s="27">
        <v>157.46</v>
      </c>
    </row>
    <row r="367" ht="15" customHeight="1" spans="1:9">
      <c r="A367" t="s">
        <v>1335</v>
      </c>
      <c r="B367" t="s">
        <v>686</v>
      </c>
      <c r="C367" t="s">
        <v>370</v>
      </c>
      <c r="D367">
        <v>1</v>
      </c>
      <c r="E367" s="27">
        <v>970.58</v>
      </c>
      <c r="F367" s="28">
        <v>0</v>
      </c>
      <c r="G367" s="27">
        <v>970.58</v>
      </c>
      <c r="H367" s="27">
        <v>194.12</v>
      </c>
      <c r="I367" s="27">
        <v>1164.7</v>
      </c>
    </row>
    <row r="368" ht="15" customHeight="1" spans="1:9">
      <c r="A368" t="s">
        <v>1336</v>
      </c>
      <c r="B368" t="s">
        <v>687</v>
      </c>
      <c r="C368" t="s">
        <v>442</v>
      </c>
      <c r="D368">
        <v>10</v>
      </c>
      <c r="E368" s="27">
        <v>374.59</v>
      </c>
      <c r="F368" s="28">
        <v>0.05</v>
      </c>
      <c r="G368" s="27">
        <v>3558.6</v>
      </c>
      <c r="H368" s="27">
        <v>711.72</v>
      </c>
      <c r="I368" s="27">
        <v>4270.32</v>
      </c>
    </row>
    <row r="369" ht="15" customHeight="1" spans="1:9">
      <c r="A369" t="s">
        <v>1337</v>
      </c>
      <c r="B369" t="s">
        <v>688</v>
      </c>
      <c r="C369" t="s">
        <v>421</v>
      </c>
      <c r="D369">
        <v>2</v>
      </c>
      <c r="E369" s="27">
        <v>78.78</v>
      </c>
      <c r="F369" s="28">
        <v>0.15</v>
      </c>
      <c r="G369" s="27">
        <v>133.93</v>
      </c>
      <c r="H369" s="27">
        <v>26.79</v>
      </c>
      <c r="I369" s="27">
        <v>160.72</v>
      </c>
    </row>
    <row r="370" ht="15" customHeight="1" spans="1:9">
      <c r="A370" t="s">
        <v>1338</v>
      </c>
      <c r="B370" t="s">
        <v>688</v>
      </c>
      <c r="C370" t="s">
        <v>380</v>
      </c>
      <c r="D370">
        <v>2</v>
      </c>
      <c r="E370" s="27">
        <v>80.3</v>
      </c>
      <c r="F370" s="28">
        <v>0.1</v>
      </c>
      <c r="G370" s="27">
        <v>144.54</v>
      </c>
      <c r="H370" s="27">
        <v>28.91</v>
      </c>
      <c r="I370" s="27">
        <v>173.45</v>
      </c>
    </row>
    <row r="371" ht="15" customHeight="1" spans="1:9">
      <c r="A371" t="s">
        <v>1339</v>
      </c>
      <c r="B371" t="s">
        <v>688</v>
      </c>
      <c r="C371" t="s">
        <v>389</v>
      </c>
      <c r="D371">
        <v>2</v>
      </c>
      <c r="E371" s="27">
        <v>120.37</v>
      </c>
      <c r="F371" s="28">
        <v>0.05</v>
      </c>
      <c r="G371" s="27">
        <v>228.7</v>
      </c>
      <c r="H371" s="27">
        <v>45.74</v>
      </c>
      <c r="I371" s="27">
        <v>274.44</v>
      </c>
    </row>
    <row r="372" ht="15" customHeight="1" spans="1:9">
      <c r="A372" t="s">
        <v>1340</v>
      </c>
      <c r="B372" t="s">
        <v>689</v>
      </c>
      <c r="C372" t="s">
        <v>414</v>
      </c>
      <c r="D372">
        <v>5</v>
      </c>
      <c r="E372" s="27">
        <v>63.96</v>
      </c>
      <c r="F372" s="28">
        <v>0.05</v>
      </c>
      <c r="G372" s="27">
        <v>303.81</v>
      </c>
      <c r="H372" s="27">
        <v>60.76</v>
      </c>
      <c r="I372" s="27">
        <v>364.57</v>
      </c>
    </row>
    <row r="373" ht="15" customHeight="1" spans="1:9">
      <c r="A373" t="s">
        <v>1341</v>
      </c>
      <c r="B373" t="s">
        <v>690</v>
      </c>
      <c r="C373" t="s">
        <v>389</v>
      </c>
      <c r="D373">
        <v>3</v>
      </c>
      <c r="E373" s="27">
        <v>120.37</v>
      </c>
      <c r="F373" s="28">
        <v>0.1</v>
      </c>
      <c r="G373" s="27">
        <v>325</v>
      </c>
      <c r="H373" s="27">
        <v>65</v>
      </c>
      <c r="I373" s="27">
        <v>390</v>
      </c>
    </row>
    <row r="374" ht="15" customHeight="1" spans="1:9">
      <c r="A374" t="s">
        <v>1342</v>
      </c>
      <c r="B374" t="s">
        <v>690</v>
      </c>
      <c r="C374" t="s">
        <v>383</v>
      </c>
      <c r="D374">
        <v>1</v>
      </c>
      <c r="E374" s="27">
        <v>39.08</v>
      </c>
      <c r="F374" s="28">
        <v>0</v>
      </c>
      <c r="G374" s="27">
        <v>39.08</v>
      </c>
      <c r="H374" s="27">
        <v>7.82</v>
      </c>
      <c r="I374" s="27">
        <v>46.9</v>
      </c>
    </row>
    <row r="375" ht="15" customHeight="1" spans="1:9">
      <c r="A375" t="s">
        <v>1343</v>
      </c>
      <c r="B375" t="s">
        <v>690</v>
      </c>
      <c r="C375" t="s">
        <v>431</v>
      </c>
      <c r="D375">
        <v>2</v>
      </c>
      <c r="E375" s="27">
        <v>47.74</v>
      </c>
      <c r="F375" s="28">
        <v>0.05</v>
      </c>
      <c r="G375" s="27">
        <v>90.71</v>
      </c>
      <c r="H375" s="27">
        <v>18.14</v>
      </c>
      <c r="I375" s="27">
        <v>108.85</v>
      </c>
    </row>
    <row r="376" ht="15" customHeight="1" spans="1:9">
      <c r="A376" t="s">
        <v>1344</v>
      </c>
      <c r="B376" t="s">
        <v>690</v>
      </c>
      <c r="C376" t="s">
        <v>387</v>
      </c>
      <c r="D376">
        <v>2</v>
      </c>
      <c r="E376" s="27">
        <v>37.91</v>
      </c>
      <c r="F376" s="28">
        <v>0</v>
      </c>
      <c r="G376" s="27">
        <v>75.82</v>
      </c>
      <c r="H376" s="27">
        <v>15.16</v>
      </c>
      <c r="I376" s="27">
        <v>90.98</v>
      </c>
    </row>
    <row r="377" ht="15" customHeight="1" spans="1:9">
      <c r="A377" t="s">
        <v>1345</v>
      </c>
      <c r="B377" t="s">
        <v>691</v>
      </c>
      <c r="C377" t="s">
        <v>412</v>
      </c>
      <c r="D377">
        <v>3</v>
      </c>
      <c r="E377" s="27">
        <v>114.1</v>
      </c>
      <c r="F377" s="28">
        <v>0.15</v>
      </c>
      <c r="G377" s="27">
        <v>290.95</v>
      </c>
      <c r="H377" s="27">
        <v>58.19</v>
      </c>
      <c r="I377" s="27">
        <v>349.14</v>
      </c>
    </row>
    <row r="378" ht="15" customHeight="1" spans="1:9">
      <c r="A378" t="s">
        <v>1346</v>
      </c>
      <c r="B378" t="s">
        <v>691</v>
      </c>
      <c r="C378" t="s">
        <v>452</v>
      </c>
      <c r="D378">
        <v>1</v>
      </c>
      <c r="E378" s="27">
        <v>381.57</v>
      </c>
      <c r="F378" s="28">
        <v>0</v>
      </c>
      <c r="G378" s="27">
        <v>381.57</v>
      </c>
      <c r="H378" s="27">
        <v>76.31</v>
      </c>
      <c r="I378" s="27">
        <v>457.88</v>
      </c>
    </row>
    <row r="379" ht="15" customHeight="1" spans="1:9">
      <c r="A379" t="s">
        <v>1347</v>
      </c>
      <c r="B379" t="s">
        <v>691</v>
      </c>
      <c r="C379" t="s">
        <v>391</v>
      </c>
      <c r="D379">
        <v>1</v>
      </c>
      <c r="E379" s="27">
        <v>138.13</v>
      </c>
      <c r="F379" s="28">
        <v>0</v>
      </c>
      <c r="G379" s="27">
        <v>138.13</v>
      </c>
      <c r="H379" s="27">
        <v>27.63</v>
      </c>
      <c r="I379" s="27">
        <v>165.76</v>
      </c>
    </row>
    <row r="380" ht="15" customHeight="1" spans="1:9">
      <c r="A380" t="s">
        <v>1348</v>
      </c>
      <c r="B380" t="s">
        <v>692</v>
      </c>
      <c r="C380" t="s">
        <v>425</v>
      </c>
      <c r="D380">
        <v>4</v>
      </c>
      <c r="E380" s="27">
        <v>36.08</v>
      </c>
      <c r="F380" s="28">
        <v>0.1</v>
      </c>
      <c r="G380" s="27">
        <v>129.89</v>
      </c>
      <c r="H380" s="27">
        <v>25.98</v>
      </c>
      <c r="I380" s="27">
        <v>155.87</v>
      </c>
    </row>
    <row r="381" ht="15" customHeight="1" spans="1:9">
      <c r="A381" t="s">
        <v>1349</v>
      </c>
      <c r="B381" t="s">
        <v>693</v>
      </c>
      <c r="C381" t="s">
        <v>475</v>
      </c>
      <c r="D381">
        <v>10</v>
      </c>
      <c r="E381" s="27">
        <v>42</v>
      </c>
      <c r="F381" s="28">
        <v>0</v>
      </c>
      <c r="G381" s="27">
        <v>420</v>
      </c>
      <c r="H381" s="27">
        <v>84</v>
      </c>
      <c r="I381" s="27">
        <v>504</v>
      </c>
    </row>
    <row r="382" ht="15" customHeight="1" spans="1:9">
      <c r="A382" t="s">
        <v>1350</v>
      </c>
      <c r="B382" t="s">
        <v>694</v>
      </c>
      <c r="C382" t="s">
        <v>377</v>
      </c>
      <c r="D382">
        <v>1</v>
      </c>
      <c r="E382" s="27">
        <v>84.94</v>
      </c>
      <c r="F382" s="28">
        <v>0</v>
      </c>
      <c r="G382" s="27">
        <v>84.94</v>
      </c>
      <c r="H382" s="27">
        <v>16.99</v>
      </c>
      <c r="I382" s="27">
        <v>101.93</v>
      </c>
    </row>
    <row r="383" ht="15" customHeight="1" spans="1:9">
      <c r="A383" t="s">
        <v>1351</v>
      </c>
      <c r="B383" t="s">
        <v>694</v>
      </c>
      <c r="C383" t="s">
        <v>398</v>
      </c>
      <c r="D383">
        <v>4</v>
      </c>
      <c r="E383" s="27">
        <v>383.91</v>
      </c>
      <c r="F383" s="28">
        <v>0.05</v>
      </c>
      <c r="G383" s="27">
        <v>1458.86</v>
      </c>
      <c r="H383" s="27">
        <v>291.77</v>
      </c>
      <c r="I383" s="27">
        <v>1750.63</v>
      </c>
    </row>
    <row r="384" ht="15" customHeight="1" spans="1:9">
      <c r="A384" t="s">
        <v>1352</v>
      </c>
      <c r="B384" t="s">
        <v>694</v>
      </c>
      <c r="C384" t="s">
        <v>389</v>
      </c>
      <c r="D384">
        <v>1</v>
      </c>
      <c r="E384" s="27">
        <v>120.37</v>
      </c>
      <c r="F384" s="28">
        <v>0</v>
      </c>
      <c r="G384" s="27">
        <v>120.37</v>
      </c>
      <c r="H384" s="27">
        <v>24.07</v>
      </c>
      <c r="I384" s="27">
        <v>144.44</v>
      </c>
    </row>
    <row r="385" ht="15" customHeight="1" spans="1:9">
      <c r="A385" t="s">
        <v>1353</v>
      </c>
      <c r="B385" t="s">
        <v>694</v>
      </c>
      <c r="C385" t="s">
        <v>387</v>
      </c>
      <c r="D385">
        <v>1</v>
      </c>
      <c r="E385" s="27">
        <v>37.91</v>
      </c>
      <c r="F385" s="28">
        <v>0.05</v>
      </c>
      <c r="G385" s="27">
        <v>36.01</v>
      </c>
      <c r="H385" s="27">
        <v>7.2</v>
      </c>
      <c r="I385" s="27">
        <v>43.21</v>
      </c>
    </row>
    <row r="386" ht="15" customHeight="1" spans="1:9">
      <c r="A386" t="s">
        <v>1354</v>
      </c>
      <c r="B386" t="s">
        <v>695</v>
      </c>
      <c r="C386" t="s">
        <v>463</v>
      </c>
      <c r="D386">
        <v>1</v>
      </c>
      <c r="E386" s="27">
        <v>73.02</v>
      </c>
      <c r="F386" s="28">
        <v>0</v>
      </c>
      <c r="G386" s="27">
        <v>73.02</v>
      </c>
      <c r="H386" s="27">
        <v>14.6</v>
      </c>
      <c r="I386" s="27">
        <v>87.62</v>
      </c>
    </row>
    <row r="387" ht="15" customHeight="1" spans="1:9">
      <c r="A387" t="s">
        <v>1355</v>
      </c>
      <c r="B387" t="s">
        <v>696</v>
      </c>
      <c r="C387" t="s">
        <v>454</v>
      </c>
      <c r="D387">
        <v>1</v>
      </c>
      <c r="E387" s="27">
        <v>375.86</v>
      </c>
      <c r="F387" s="28">
        <v>0</v>
      </c>
      <c r="G387" s="27">
        <v>375.86</v>
      </c>
      <c r="H387" s="27">
        <v>75.17</v>
      </c>
      <c r="I387" s="27">
        <v>451.03</v>
      </c>
    </row>
    <row r="388" ht="15" customHeight="1" spans="1:9">
      <c r="A388" t="s">
        <v>1356</v>
      </c>
      <c r="B388" t="s">
        <v>696</v>
      </c>
      <c r="C388" t="s">
        <v>438</v>
      </c>
      <c r="D388">
        <v>1</v>
      </c>
      <c r="E388" s="27">
        <v>295.97</v>
      </c>
      <c r="F388" s="28">
        <v>0.1</v>
      </c>
      <c r="G388" s="27">
        <v>266.37</v>
      </c>
      <c r="H388" s="27">
        <v>53.27</v>
      </c>
      <c r="I388" s="27">
        <v>319.64</v>
      </c>
    </row>
    <row r="389" ht="15" customHeight="1" spans="1:9">
      <c r="A389" t="s">
        <v>1357</v>
      </c>
      <c r="B389" t="s">
        <v>697</v>
      </c>
      <c r="C389" t="s">
        <v>442</v>
      </c>
      <c r="D389">
        <v>1</v>
      </c>
      <c r="E389" s="27">
        <v>374.59</v>
      </c>
      <c r="F389" s="28">
        <v>0.1</v>
      </c>
      <c r="G389" s="27">
        <v>337.13</v>
      </c>
      <c r="H389" s="27">
        <v>67.43</v>
      </c>
      <c r="I389" s="27">
        <v>404.56</v>
      </c>
    </row>
    <row r="390" ht="15" customHeight="1" spans="1:9">
      <c r="A390" t="s">
        <v>1358</v>
      </c>
      <c r="B390" t="s">
        <v>697</v>
      </c>
      <c r="C390" t="s">
        <v>370</v>
      </c>
      <c r="D390">
        <v>10</v>
      </c>
      <c r="E390" s="27">
        <v>970.58</v>
      </c>
      <c r="F390" s="28">
        <v>0.15</v>
      </c>
      <c r="G390" s="27">
        <v>8249.93</v>
      </c>
      <c r="H390" s="27">
        <v>1649.99</v>
      </c>
      <c r="I390" s="27">
        <v>9899.92</v>
      </c>
    </row>
    <row r="391" ht="15" customHeight="1" spans="1:9">
      <c r="A391" t="s">
        <v>1359</v>
      </c>
      <c r="B391" t="s">
        <v>698</v>
      </c>
      <c r="C391" t="s">
        <v>370</v>
      </c>
      <c r="D391">
        <v>1</v>
      </c>
      <c r="E391" s="27">
        <v>970.58</v>
      </c>
      <c r="F391" s="28">
        <v>0</v>
      </c>
      <c r="G391" s="27">
        <v>970.58</v>
      </c>
      <c r="H391" s="27">
        <v>194.12</v>
      </c>
      <c r="I391" s="27">
        <v>1164.7</v>
      </c>
    </row>
    <row r="392" ht="15" customHeight="1" spans="1:9">
      <c r="A392" t="s">
        <v>1360</v>
      </c>
      <c r="B392" t="s">
        <v>699</v>
      </c>
      <c r="C392" t="s">
        <v>402</v>
      </c>
      <c r="D392">
        <v>8</v>
      </c>
      <c r="E392" s="27">
        <v>26.57</v>
      </c>
      <c r="F392" s="28">
        <v>0</v>
      </c>
      <c r="G392" s="27">
        <v>212.56</v>
      </c>
      <c r="H392" s="27">
        <v>42.51</v>
      </c>
      <c r="I392" s="27">
        <v>255.07</v>
      </c>
    </row>
    <row r="393" ht="15" customHeight="1" spans="1:9">
      <c r="A393" t="s">
        <v>1361</v>
      </c>
      <c r="B393" t="s">
        <v>699</v>
      </c>
      <c r="C393" t="s">
        <v>404</v>
      </c>
      <c r="D393">
        <v>2</v>
      </c>
      <c r="E393" s="27">
        <v>30.09</v>
      </c>
      <c r="F393" s="28">
        <v>0</v>
      </c>
      <c r="G393" s="27">
        <v>60.18</v>
      </c>
      <c r="H393" s="27">
        <v>12.04</v>
      </c>
      <c r="I393" s="27">
        <v>72.22</v>
      </c>
    </row>
    <row r="394" ht="15" customHeight="1" spans="1:9">
      <c r="A394" t="s">
        <v>1362</v>
      </c>
      <c r="B394" t="s">
        <v>699</v>
      </c>
      <c r="C394" t="s">
        <v>444</v>
      </c>
      <c r="D394">
        <v>3</v>
      </c>
      <c r="E394" s="27">
        <v>442.3</v>
      </c>
      <c r="F394" s="28">
        <v>0.15</v>
      </c>
      <c r="G394" s="27">
        <v>1127.87</v>
      </c>
      <c r="H394" s="27">
        <v>225.57</v>
      </c>
      <c r="I394" s="27">
        <v>1353.44</v>
      </c>
    </row>
    <row r="395" ht="15" customHeight="1" spans="1:9">
      <c r="A395" t="s">
        <v>1363</v>
      </c>
      <c r="B395" t="s">
        <v>700</v>
      </c>
      <c r="C395" t="s">
        <v>414</v>
      </c>
      <c r="D395">
        <v>3</v>
      </c>
      <c r="E395" s="27">
        <v>63.96</v>
      </c>
      <c r="F395" s="28">
        <v>0.15</v>
      </c>
      <c r="G395" s="27">
        <v>163.1</v>
      </c>
      <c r="H395" s="27">
        <v>32.62</v>
      </c>
      <c r="I395" s="27">
        <v>195.72</v>
      </c>
    </row>
    <row r="396" ht="15" customHeight="1" spans="1:9">
      <c r="A396" t="s">
        <v>1364</v>
      </c>
      <c r="B396" t="s">
        <v>701</v>
      </c>
      <c r="C396" t="s">
        <v>398</v>
      </c>
      <c r="D396">
        <v>3</v>
      </c>
      <c r="E396" s="27">
        <v>383.91</v>
      </c>
      <c r="F396" s="28">
        <v>0.05</v>
      </c>
      <c r="G396" s="27">
        <v>1094.14</v>
      </c>
      <c r="H396" s="27">
        <v>218.83</v>
      </c>
      <c r="I396" s="27">
        <v>1312.97</v>
      </c>
    </row>
    <row r="397" ht="15" customHeight="1" spans="1:9">
      <c r="A397" t="s">
        <v>1365</v>
      </c>
      <c r="B397" t="s">
        <v>701</v>
      </c>
      <c r="C397" t="s">
        <v>444</v>
      </c>
      <c r="D397">
        <v>1</v>
      </c>
      <c r="E397" s="27">
        <v>442.3</v>
      </c>
      <c r="F397" s="28">
        <v>0.05</v>
      </c>
      <c r="G397" s="27">
        <v>420.19</v>
      </c>
      <c r="H397" s="27">
        <v>84.04</v>
      </c>
      <c r="I397" s="27">
        <v>504.23</v>
      </c>
    </row>
    <row r="398" ht="15" customHeight="1" spans="1:9">
      <c r="A398" t="s">
        <v>1366</v>
      </c>
      <c r="B398" t="s">
        <v>702</v>
      </c>
      <c r="C398" t="s">
        <v>454</v>
      </c>
      <c r="D398">
        <v>1</v>
      </c>
      <c r="E398" s="27">
        <v>375.86</v>
      </c>
      <c r="F398" s="28">
        <v>0</v>
      </c>
      <c r="G398" s="27">
        <v>375.86</v>
      </c>
      <c r="H398" s="27">
        <v>75.17</v>
      </c>
      <c r="I398" s="27">
        <v>451.03</v>
      </c>
    </row>
    <row r="399" ht="15" customHeight="1" spans="1:9">
      <c r="A399" t="s">
        <v>1367</v>
      </c>
      <c r="B399" t="s">
        <v>703</v>
      </c>
      <c r="C399" t="s">
        <v>442</v>
      </c>
      <c r="D399">
        <v>4</v>
      </c>
      <c r="E399" s="27">
        <v>374.59</v>
      </c>
      <c r="F399" s="28">
        <v>0</v>
      </c>
      <c r="G399" s="27">
        <v>1498.36</v>
      </c>
      <c r="H399" s="27">
        <v>299.67</v>
      </c>
      <c r="I399" s="27">
        <v>1798.03</v>
      </c>
    </row>
    <row r="400" ht="15" customHeight="1" spans="1:9">
      <c r="A400" t="s">
        <v>1368</v>
      </c>
      <c r="B400" t="s">
        <v>703</v>
      </c>
      <c r="C400" t="s">
        <v>421</v>
      </c>
      <c r="D400">
        <v>3</v>
      </c>
      <c r="E400" s="27">
        <v>78.78</v>
      </c>
      <c r="F400" s="28">
        <v>0.15</v>
      </c>
      <c r="G400" s="27">
        <v>200.89</v>
      </c>
      <c r="H400" s="27">
        <v>40.18</v>
      </c>
      <c r="I400" s="27">
        <v>241.07</v>
      </c>
    </row>
    <row r="401" ht="15" customHeight="1" spans="1:9">
      <c r="A401" t="s">
        <v>1369</v>
      </c>
      <c r="B401" t="s">
        <v>703</v>
      </c>
      <c r="C401" t="s">
        <v>425</v>
      </c>
      <c r="D401">
        <v>2</v>
      </c>
      <c r="E401" s="27">
        <v>36.08</v>
      </c>
      <c r="F401" s="28">
        <v>0</v>
      </c>
      <c r="G401" s="27">
        <v>72.16</v>
      </c>
      <c r="H401" s="27">
        <v>14.43</v>
      </c>
      <c r="I401" s="27">
        <v>86.59</v>
      </c>
    </row>
    <row r="402" ht="15" customHeight="1" spans="1:9">
      <c r="A402" t="s">
        <v>1370</v>
      </c>
      <c r="B402" t="s">
        <v>704</v>
      </c>
      <c r="C402" t="s">
        <v>396</v>
      </c>
      <c r="D402">
        <v>3</v>
      </c>
      <c r="E402" s="27">
        <v>225.64</v>
      </c>
      <c r="F402" s="28">
        <v>0.1</v>
      </c>
      <c r="G402" s="27">
        <v>609.23</v>
      </c>
      <c r="H402" s="27">
        <v>121.85</v>
      </c>
      <c r="I402" s="27">
        <v>731.08</v>
      </c>
    </row>
    <row r="403" ht="15" customHeight="1" spans="1:9">
      <c r="A403" t="s">
        <v>1371</v>
      </c>
      <c r="B403" t="s">
        <v>704</v>
      </c>
      <c r="C403" t="s">
        <v>465</v>
      </c>
      <c r="D403">
        <v>4</v>
      </c>
      <c r="E403" s="27">
        <v>44.16</v>
      </c>
      <c r="F403" s="28">
        <v>0.1</v>
      </c>
      <c r="G403" s="27">
        <v>158.98</v>
      </c>
      <c r="H403" s="27">
        <v>31.8</v>
      </c>
      <c r="I403" s="27">
        <v>190.78</v>
      </c>
    </row>
    <row r="404" ht="15" customHeight="1" spans="1:9">
      <c r="A404" t="s">
        <v>1372</v>
      </c>
      <c r="B404" t="s">
        <v>705</v>
      </c>
      <c r="C404" t="s">
        <v>366</v>
      </c>
      <c r="D404">
        <v>5</v>
      </c>
      <c r="E404" s="27">
        <v>1103.64</v>
      </c>
      <c r="F404" s="28">
        <v>0.1</v>
      </c>
      <c r="G404" s="27">
        <v>4966.38</v>
      </c>
      <c r="H404" s="27">
        <v>993.28</v>
      </c>
      <c r="I404" s="27">
        <v>5959.66</v>
      </c>
    </row>
    <row r="405" ht="15" customHeight="1" spans="1:9">
      <c r="A405" t="s">
        <v>1373</v>
      </c>
      <c r="B405" t="s">
        <v>706</v>
      </c>
      <c r="C405" t="s">
        <v>383</v>
      </c>
      <c r="D405">
        <v>5</v>
      </c>
      <c r="E405" s="27">
        <v>39.08</v>
      </c>
      <c r="F405" s="28">
        <v>0</v>
      </c>
      <c r="G405" s="27">
        <v>195.4</v>
      </c>
      <c r="H405" s="27">
        <v>39.08</v>
      </c>
      <c r="I405" s="27">
        <v>234.48</v>
      </c>
    </row>
    <row r="406" ht="15" customHeight="1" spans="1:9">
      <c r="A406" t="s">
        <v>1374</v>
      </c>
      <c r="B406" t="s">
        <v>706</v>
      </c>
      <c r="C406" t="s">
        <v>417</v>
      </c>
      <c r="D406">
        <v>3</v>
      </c>
      <c r="E406" s="27">
        <v>59.79</v>
      </c>
      <c r="F406" s="28">
        <v>0</v>
      </c>
      <c r="G406" s="27">
        <v>179.37</v>
      </c>
      <c r="H406" s="27">
        <v>35.87</v>
      </c>
      <c r="I406" s="27">
        <v>215.24</v>
      </c>
    </row>
    <row r="407" ht="15" customHeight="1" spans="1:9">
      <c r="A407" t="s">
        <v>1375</v>
      </c>
      <c r="B407" t="s">
        <v>707</v>
      </c>
      <c r="C407" t="s">
        <v>400</v>
      </c>
      <c r="D407">
        <v>1</v>
      </c>
      <c r="E407" s="27">
        <v>328.03</v>
      </c>
      <c r="F407" s="28">
        <v>0</v>
      </c>
      <c r="G407" s="27">
        <v>328.03</v>
      </c>
      <c r="H407" s="27">
        <v>65.61</v>
      </c>
      <c r="I407" s="27">
        <v>393.64</v>
      </c>
    </row>
    <row r="408" ht="15" customHeight="1" spans="1:9">
      <c r="A408" t="s">
        <v>1376</v>
      </c>
      <c r="B408" t="s">
        <v>708</v>
      </c>
      <c r="C408" t="s">
        <v>427</v>
      </c>
      <c r="D408">
        <v>2</v>
      </c>
      <c r="E408" s="27">
        <v>25.25</v>
      </c>
      <c r="F408" s="28">
        <v>0.05</v>
      </c>
      <c r="G408" s="27">
        <v>47.97</v>
      </c>
      <c r="H408" s="27">
        <v>9.59</v>
      </c>
      <c r="I408" s="27">
        <v>57.56</v>
      </c>
    </row>
    <row r="409" ht="15" customHeight="1" spans="1:9">
      <c r="A409" t="s">
        <v>1377</v>
      </c>
      <c r="B409" t="s">
        <v>708</v>
      </c>
      <c r="C409" t="s">
        <v>419</v>
      </c>
      <c r="D409">
        <v>2</v>
      </c>
      <c r="E409" s="27">
        <v>100.34</v>
      </c>
      <c r="F409" s="28">
        <v>0</v>
      </c>
      <c r="G409" s="27">
        <v>200.68</v>
      </c>
      <c r="H409" s="27">
        <v>40.14</v>
      </c>
      <c r="I409" s="27">
        <v>240.82</v>
      </c>
    </row>
    <row r="410" ht="15" customHeight="1" spans="1:9">
      <c r="A410" t="s">
        <v>1378</v>
      </c>
      <c r="B410" t="s">
        <v>708</v>
      </c>
      <c r="C410" t="s">
        <v>435</v>
      </c>
      <c r="D410">
        <v>3</v>
      </c>
      <c r="E410" s="27">
        <v>262.34</v>
      </c>
      <c r="F410" s="28">
        <v>0.1</v>
      </c>
      <c r="G410" s="27">
        <v>708.32</v>
      </c>
      <c r="H410" s="27">
        <v>141.66</v>
      </c>
      <c r="I410" s="27">
        <v>849.98</v>
      </c>
    </row>
    <row r="411" ht="15" customHeight="1" spans="1:9">
      <c r="A411" t="s">
        <v>1379</v>
      </c>
      <c r="B411" t="s">
        <v>708</v>
      </c>
      <c r="C411" t="s">
        <v>459</v>
      </c>
      <c r="D411">
        <v>3</v>
      </c>
      <c r="E411" s="27">
        <v>70.8</v>
      </c>
      <c r="F411" s="28">
        <v>0</v>
      </c>
      <c r="G411" s="27">
        <v>212.4</v>
      </c>
      <c r="H411" s="27">
        <v>42.48</v>
      </c>
      <c r="I411" s="27">
        <v>254.88</v>
      </c>
    </row>
    <row r="412" ht="15" customHeight="1" spans="1:9">
      <c r="A412" t="s">
        <v>1380</v>
      </c>
      <c r="B412" t="s">
        <v>708</v>
      </c>
      <c r="C412" t="s">
        <v>393</v>
      </c>
      <c r="D412">
        <v>2</v>
      </c>
      <c r="E412" s="27">
        <v>196.18</v>
      </c>
      <c r="F412" s="28">
        <v>0</v>
      </c>
      <c r="G412" s="27">
        <v>392.36</v>
      </c>
      <c r="H412" s="27">
        <v>78.47</v>
      </c>
      <c r="I412" s="27">
        <v>470.83</v>
      </c>
    </row>
    <row r="413" ht="15" customHeight="1" spans="1:9">
      <c r="A413" t="s">
        <v>1381</v>
      </c>
      <c r="B413" t="s">
        <v>709</v>
      </c>
      <c r="C413" t="s">
        <v>423</v>
      </c>
      <c r="D413">
        <v>1</v>
      </c>
      <c r="E413" s="27">
        <v>46.02</v>
      </c>
      <c r="F413" s="28">
        <v>0</v>
      </c>
      <c r="G413" s="27">
        <v>46.02</v>
      </c>
      <c r="H413" s="27">
        <v>9.2</v>
      </c>
      <c r="I413" s="27">
        <v>55.22</v>
      </c>
    </row>
    <row r="414" ht="15" customHeight="1" spans="1:9">
      <c r="A414" t="s">
        <v>1382</v>
      </c>
      <c r="B414" t="s">
        <v>710</v>
      </c>
      <c r="C414" t="s">
        <v>459</v>
      </c>
      <c r="D414">
        <v>1</v>
      </c>
      <c r="E414" s="27">
        <v>70.8</v>
      </c>
      <c r="F414" s="28">
        <v>0.05</v>
      </c>
      <c r="G414" s="27">
        <v>67.26</v>
      </c>
      <c r="H414" s="27">
        <v>13.45</v>
      </c>
      <c r="I414" s="27">
        <v>80.71</v>
      </c>
    </row>
    <row r="415" ht="15" customHeight="1" spans="1:9">
      <c r="A415" t="s">
        <v>1383</v>
      </c>
      <c r="B415" t="s">
        <v>710</v>
      </c>
      <c r="C415" t="s">
        <v>393</v>
      </c>
      <c r="D415">
        <v>1</v>
      </c>
      <c r="E415" s="27">
        <v>196.18</v>
      </c>
      <c r="F415" s="28">
        <v>0</v>
      </c>
      <c r="G415" s="27">
        <v>196.18</v>
      </c>
      <c r="H415" s="27">
        <v>39.24</v>
      </c>
      <c r="I415" s="27">
        <v>235.42</v>
      </c>
    </row>
    <row r="416" ht="15" customHeight="1" spans="1:9">
      <c r="A416" t="s">
        <v>1384</v>
      </c>
      <c r="B416" t="s">
        <v>711</v>
      </c>
      <c r="C416" t="s">
        <v>425</v>
      </c>
      <c r="D416">
        <v>2</v>
      </c>
      <c r="E416" s="27">
        <v>36.08</v>
      </c>
      <c r="F416" s="28">
        <v>0.05</v>
      </c>
      <c r="G416" s="27">
        <v>68.55</v>
      </c>
      <c r="H416" s="27">
        <v>13.71</v>
      </c>
      <c r="I416" s="27">
        <v>82.26</v>
      </c>
    </row>
    <row r="417" ht="15" customHeight="1" spans="1:9">
      <c r="A417" t="s">
        <v>1385</v>
      </c>
      <c r="B417" t="s">
        <v>712</v>
      </c>
      <c r="C417" t="s">
        <v>370</v>
      </c>
      <c r="D417">
        <v>1</v>
      </c>
      <c r="E417" s="27">
        <v>970.58</v>
      </c>
      <c r="F417" s="28">
        <v>0.15</v>
      </c>
      <c r="G417" s="27">
        <v>824.99</v>
      </c>
      <c r="H417" s="27">
        <v>165</v>
      </c>
      <c r="I417" s="27">
        <v>989.99</v>
      </c>
    </row>
    <row r="418" ht="15" customHeight="1" spans="1:9">
      <c r="A418" t="s">
        <v>1386</v>
      </c>
      <c r="B418" t="s">
        <v>713</v>
      </c>
      <c r="C418" t="s">
        <v>461</v>
      </c>
      <c r="D418">
        <v>1</v>
      </c>
      <c r="E418" s="27">
        <v>59.83</v>
      </c>
      <c r="F418" s="28">
        <v>0.15</v>
      </c>
      <c r="G418" s="27">
        <v>50.86</v>
      </c>
      <c r="H418" s="27">
        <v>10.17</v>
      </c>
      <c r="I418" s="27">
        <v>61.03</v>
      </c>
    </row>
    <row r="419" ht="15" customHeight="1" spans="1:9">
      <c r="A419" t="s">
        <v>1387</v>
      </c>
      <c r="B419" t="s">
        <v>713</v>
      </c>
      <c r="C419" t="s">
        <v>444</v>
      </c>
      <c r="D419">
        <v>1</v>
      </c>
      <c r="E419" s="27">
        <v>442.3</v>
      </c>
      <c r="F419" s="28">
        <v>0</v>
      </c>
      <c r="G419" s="27">
        <v>442.3</v>
      </c>
      <c r="H419" s="27">
        <v>88.46</v>
      </c>
      <c r="I419" s="27">
        <v>530.76</v>
      </c>
    </row>
    <row r="420" ht="15" customHeight="1" spans="1:9">
      <c r="A420" t="s">
        <v>1388</v>
      </c>
      <c r="B420" t="s">
        <v>714</v>
      </c>
      <c r="C420" t="s">
        <v>408</v>
      </c>
      <c r="D420">
        <v>2</v>
      </c>
      <c r="E420" s="27">
        <v>19.65</v>
      </c>
      <c r="F420" s="28">
        <v>0</v>
      </c>
      <c r="G420" s="27">
        <v>39.3</v>
      </c>
      <c r="H420" s="27">
        <v>7.86</v>
      </c>
      <c r="I420" s="27">
        <v>47.16</v>
      </c>
    </row>
    <row r="421" ht="15" customHeight="1" spans="1:9">
      <c r="A421" t="s">
        <v>1389</v>
      </c>
      <c r="B421" t="s">
        <v>715</v>
      </c>
      <c r="C421" t="s">
        <v>423</v>
      </c>
      <c r="D421">
        <v>3</v>
      </c>
      <c r="E421" s="27">
        <v>46.02</v>
      </c>
      <c r="F421" s="28">
        <v>0.05</v>
      </c>
      <c r="G421" s="27">
        <v>131.16</v>
      </c>
      <c r="H421" s="27">
        <v>26.23</v>
      </c>
      <c r="I421" s="27">
        <v>157.39</v>
      </c>
    </row>
    <row r="422" ht="15" customHeight="1" spans="1:9">
      <c r="A422" t="s">
        <v>1390</v>
      </c>
      <c r="B422" t="s">
        <v>715</v>
      </c>
      <c r="C422" t="s">
        <v>444</v>
      </c>
      <c r="D422">
        <v>2</v>
      </c>
      <c r="E422" s="27">
        <v>442.3</v>
      </c>
      <c r="F422" s="28">
        <v>0.05</v>
      </c>
      <c r="G422" s="27">
        <v>840.37</v>
      </c>
      <c r="H422" s="27">
        <v>168.07</v>
      </c>
      <c r="I422" s="27">
        <v>1008.44</v>
      </c>
    </row>
    <row r="423" ht="15" customHeight="1" spans="1:9">
      <c r="A423" t="s">
        <v>1391</v>
      </c>
      <c r="B423" t="s">
        <v>716</v>
      </c>
      <c r="C423" t="s">
        <v>442</v>
      </c>
      <c r="D423">
        <v>3</v>
      </c>
      <c r="E423" s="27">
        <v>374.59</v>
      </c>
      <c r="F423" s="28">
        <v>0.15</v>
      </c>
      <c r="G423" s="27">
        <v>955.2</v>
      </c>
      <c r="H423" s="27">
        <v>191.04</v>
      </c>
      <c r="I423" s="27">
        <v>1146.24</v>
      </c>
    </row>
    <row r="424" ht="15" customHeight="1" spans="1:9">
      <c r="A424" t="s">
        <v>1392</v>
      </c>
      <c r="B424" t="s">
        <v>716</v>
      </c>
      <c r="C424" t="s">
        <v>454</v>
      </c>
      <c r="D424">
        <v>1</v>
      </c>
      <c r="E424" s="27">
        <v>375.86</v>
      </c>
      <c r="F424" s="28">
        <v>0.05</v>
      </c>
      <c r="G424" s="27">
        <v>357.07</v>
      </c>
      <c r="H424" s="27">
        <v>71.41</v>
      </c>
      <c r="I424" s="27">
        <v>428.48</v>
      </c>
    </row>
    <row r="425" ht="15" customHeight="1" spans="1:9">
      <c r="A425" t="s">
        <v>1393</v>
      </c>
      <c r="B425" t="s">
        <v>717</v>
      </c>
      <c r="C425" t="s">
        <v>429</v>
      </c>
      <c r="D425">
        <v>1</v>
      </c>
      <c r="E425" s="27">
        <v>32.75</v>
      </c>
      <c r="F425" s="28">
        <v>0.15</v>
      </c>
      <c r="G425" s="27">
        <v>27.84</v>
      </c>
      <c r="H425" s="27">
        <v>5.57</v>
      </c>
      <c r="I425" s="27">
        <v>33.41</v>
      </c>
    </row>
    <row r="426" ht="15" customHeight="1" spans="1:9">
      <c r="A426" t="s">
        <v>1394</v>
      </c>
      <c r="B426" t="s">
        <v>717</v>
      </c>
      <c r="C426" t="s">
        <v>391</v>
      </c>
      <c r="D426">
        <v>3</v>
      </c>
      <c r="E426" s="27">
        <v>138.13</v>
      </c>
      <c r="F426" s="28">
        <v>0</v>
      </c>
      <c r="G426" s="27">
        <v>414.39</v>
      </c>
      <c r="H426" s="27">
        <v>82.88</v>
      </c>
      <c r="I426" s="27">
        <v>497.27</v>
      </c>
    </row>
    <row r="427" ht="15" customHeight="1" spans="1:9">
      <c r="A427" t="s">
        <v>1395</v>
      </c>
      <c r="B427" t="s">
        <v>717</v>
      </c>
      <c r="C427" t="s">
        <v>414</v>
      </c>
      <c r="D427">
        <v>4</v>
      </c>
      <c r="E427" s="27">
        <v>63.96</v>
      </c>
      <c r="F427" s="28">
        <v>0</v>
      </c>
      <c r="G427" s="27">
        <v>255.84</v>
      </c>
      <c r="H427" s="27">
        <v>51.17</v>
      </c>
      <c r="I427" s="27">
        <v>307.01</v>
      </c>
    </row>
    <row r="428" ht="15" customHeight="1" spans="1:9">
      <c r="A428" t="s">
        <v>1396</v>
      </c>
      <c r="B428" t="s">
        <v>717</v>
      </c>
      <c r="C428" t="s">
        <v>380</v>
      </c>
      <c r="D428">
        <v>1</v>
      </c>
      <c r="E428" s="27">
        <v>80.3</v>
      </c>
      <c r="F428" s="28">
        <v>0.05</v>
      </c>
      <c r="G428" s="27">
        <v>76.28</v>
      </c>
      <c r="H428" s="27">
        <v>15.26</v>
      </c>
      <c r="I428" s="27">
        <v>91.54</v>
      </c>
    </row>
    <row r="429" ht="15" customHeight="1" spans="1:9">
      <c r="A429" t="s">
        <v>1397</v>
      </c>
      <c r="B429" t="s">
        <v>717</v>
      </c>
      <c r="C429" t="s">
        <v>446</v>
      </c>
      <c r="D429">
        <v>1</v>
      </c>
      <c r="E429" s="27">
        <v>454.43</v>
      </c>
      <c r="F429" s="28">
        <v>0</v>
      </c>
      <c r="G429" s="27">
        <v>454.43</v>
      </c>
      <c r="H429" s="27">
        <v>90.89</v>
      </c>
      <c r="I429" s="27">
        <v>545.32</v>
      </c>
    </row>
    <row r="430" ht="15" customHeight="1" spans="1:9">
      <c r="A430" t="s">
        <v>1398</v>
      </c>
      <c r="B430" t="s">
        <v>718</v>
      </c>
      <c r="C430" t="s">
        <v>450</v>
      </c>
      <c r="D430">
        <v>3</v>
      </c>
      <c r="E430" s="27">
        <v>538.29</v>
      </c>
      <c r="F430" s="28">
        <v>0</v>
      </c>
      <c r="G430" s="27">
        <v>1614.87</v>
      </c>
      <c r="H430" s="27">
        <v>322.97</v>
      </c>
      <c r="I430" s="27">
        <v>1937.84</v>
      </c>
    </row>
    <row r="431" ht="15" customHeight="1" spans="1:9">
      <c r="A431" t="s">
        <v>1399</v>
      </c>
      <c r="B431" t="s">
        <v>718</v>
      </c>
      <c r="C431" t="s">
        <v>383</v>
      </c>
      <c r="D431">
        <v>2</v>
      </c>
      <c r="E431" s="27">
        <v>39.08</v>
      </c>
      <c r="F431" s="28">
        <v>0</v>
      </c>
      <c r="G431" s="27">
        <v>78.16</v>
      </c>
      <c r="H431" s="27">
        <v>15.63</v>
      </c>
      <c r="I431" s="27">
        <v>93.79</v>
      </c>
    </row>
    <row r="432" ht="15" customHeight="1" spans="1:9">
      <c r="A432" t="s">
        <v>1400</v>
      </c>
      <c r="B432" t="s">
        <v>719</v>
      </c>
      <c r="C432" t="s">
        <v>448</v>
      </c>
      <c r="D432">
        <v>2</v>
      </c>
      <c r="E432" s="27">
        <v>543.43</v>
      </c>
      <c r="F432" s="28">
        <v>0</v>
      </c>
      <c r="G432" s="27">
        <v>1086.86</v>
      </c>
      <c r="H432" s="27">
        <v>217.37</v>
      </c>
      <c r="I432" s="27">
        <v>1304.23</v>
      </c>
    </row>
    <row r="433" ht="15" customHeight="1" spans="1:9">
      <c r="A433" t="s">
        <v>1401</v>
      </c>
      <c r="B433" t="s">
        <v>719</v>
      </c>
      <c r="C433" t="s">
        <v>396</v>
      </c>
      <c r="D433">
        <v>1</v>
      </c>
      <c r="E433" s="27">
        <v>225.64</v>
      </c>
      <c r="F433" s="28">
        <v>0</v>
      </c>
      <c r="G433" s="27">
        <v>225.64</v>
      </c>
      <c r="H433" s="27">
        <v>45.13</v>
      </c>
      <c r="I433" s="27">
        <v>270.77</v>
      </c>
    </row>
    <row r="434" ht="15" customHeight="1" spans="1:9">
      <c r="A434" t="s">
        <v>1402</v>
      </c>
      <c r="B434" t="s">
        <v>719</v>
      </c>
      <c r="C434" t="s">
        <v>454</v>
      </c>
      <c r="D434">
        <v>2</v>
      </c>
      <c r="E434" s="27">
        <v>375.86</v>
      </c>
      <c r="F434" s="28">
        <v>0.15</v>
      </c>
      <c r="G434" s="27">
        <v>638.96</v>
      </c>
      <c r="H434" s="27">
        <v>127.79</v>
      </c>
      <c r="I434" s="27">
        <v>766.75</v>
      </c>
    </row>
    <row r="435" ht="15" customHeight="1" spans="1:9">
      <c r="A435" t="s">
        <v>1403</v>
      </c>
      <c r="B435" t="s">
        <v>720</v>
      </c>
      <c r="C435" t="s">
        <v>421</v>
      </c>
      <c r="D435">
        <v>1</v>
      </c>
      <c r="E435" s="27">
        <v>78.78</v>
      </c>
      <c r="F435" s="28">
        <v>0</v>
      </c>
      <c r="G435" s="27">
        <v>78.78</v>
      </c>
      <c r="H435" s="27">
        <v>15.76</v>
      </c>
      <c r="I435" s="27">
        <v>94.54</v>
      </c>
    </row>
    <row r="436" ht="15" customHeight="1" spans="1:9">
      <c r="A436" t="s">
        <v>1404</v>
      </c>
      <c r="B436" t="s">
        <v>720</v>
      </c>
      <c r="C436" t="s">
        <v>412</v>
      </c>
      <c r="D436">
        <v>1</v>
      </c>
      <c r="E436" s="27">
        <v>114.1</v>
      </c>
      <c r="F436" s="28">
        <v>0.05</v>
      </c>
      <c r="G436" s="27">
        <v>108.39</v>
      </c>
      <c r="H436" s="27">
        <v>21.68</v>
      </c>
      <c r="I436" s="27">
        <v>130.07</v>
      </c>
    </row>
    <row r="437" ht="15" customHeight="1" spans="1:9">
      <c r="A437" t="s">
        <v>1405</v>
      </c>
      <c r="B437" t="s">
        <v>720</v>
      </c>
      <c r="C437" t="s">
        <v>465</v>
      </c>
      <c r="D437">
        <v>2</v>
      </c>
      <c r="E437" s="27">
        <v>44.16</v>
      </c>
      <c r="F437" s="28">
        <v>0</v>
      </c>
      <c r="G437" s="27">
        <v>88.32</v>
      </c>
      <c r="H437" s="27">
        <v>17.66</v>
      </c>
      <c r="I437" s="27">
        <v>105.98</v>
      </c>
    </row>
    <row r="438" ht="15" customHeight="1" spans="1:9">
      <c r="A438" t="s">
        <v>1406</v>
      </c>
      <c r="B438" t="s">
        <v>720</v>
      </c>
      <c r="C438" t="s">
        <v>389</v>
      </c>
      <c r="D438">
        <v>1</v>
      </c>
      <c r="E438" s="27">
        <v>120.37</v>
      </c>
      <c r="F438" s="28">
        <v>0.15</v>
      </c>
      <c r="G438" s="27">
        <v>102.31</v>
      </c>
      <c r="H438" s="27">
        <v>20.46</v>
      </c>
      <c r="I438" s="27">
        <v>122.77</v>
      </c>
    </row>
    <row r="439" ht="15" customHeight="1" spans="1:9">
      <c r="A439" t="s">
        <v>1407</v>
      </c>
      <c r="B439" t="s">
        <v>721</v>
      </c>
      <c r="C439" t="s">
        <v>427</v>
      </c>
      <c r="D439">
        <v>3</v>
      </c>
      <c r="E439" s="27">
        <v>25.25</v>
      </c>
      <c r="F439" s="28">
        <v>0.1</v>
      </c>
      <c r="G439" s="27">
        <v>68.17</v>
      </c>
      <c r="H439" s="27">
        <v>13.63</v>
      </c>
      <c r="I439" s="27">
        <v>81.8</v>
      </c>
    </row>
    <row r="440" ht="15" customHeight="1" spans="1:9">
      <c r="A440" t="s">
        <v>1408</v>
      </c>
      <c r="B440" t="s">
        <v>721</v>
      </c>
      <c r="C440" t="s">
        <v>421</v>
      </c>
      <c r="D440">
        <v>3</v>
      </c>
      <c r="E440" s="27">
        <v>78.78</v>
      </c>
      <c r="F440" s="28">
        <v>0.1</v>
      </c>
      <c r="G440" s="27">
        <v>212.71</v>
      </c>
      <c r="H440" s="27">
        <v>42.54</v>
      </c>
      <c r="I440" s="27">
        <v>255.25</v>
      </c>
    </row>
    <row r="441" ht="15" customHeight="1" spans="1:9">
      <c r="A441" t="s">
        <v>1409</v>
      </c>
      <c r="B441" t="s">
        <v>722</v>
      </c>
      <c r="C441" t="s">
        <v>398</v>
      </c>
      <c r="D441">
        <v>3</v>
      </c>
      <c r="E441" s="27">
        <v>383.91</v>
      </c>
      <c r="F441" s="28">
        <v>0</v>
      </c>
      <c r="G441" s="27">
        <v>1151.73</v>
      </c>
      <c r="H441" s="27">
        <v>230.35</v>
      </c>
      <c r="I441" s="27">
        <v>1382.08</v>
      </c>
    </row>
    <row r="442" ht="15" customHeight="1" spans="1:9">
      <c r="A442" t="s">
        <v>1410</v>
      </c>
      <c r="B442" t="s">
        <v>723</v>
      </c>
      <c r="C442" t="s">
        <v>440</v>
      </c>
      <c r="D442">
        <v>1</v>
      </c>
      <c r="E442" s="27">
        <v>391.34</v>
      </c>
      <c r="F442" s="28">
        <v>0</v>
      </c>
      <c r="G442" s="27">
        <v>391.34</v>
      </c>
      <c r="H442" s="27">
        <v>78.27</v>
      </c>
      <c r="I442" s="27">
        <v>469.61</v>
      </c>
    </row>
    <row r="443" ht="15" customHeight="1" spans="1:9">
      <c r="A443" t="s">
        <v>1411</v>
      </c>
      <c r="B443" t="s">
        <v>723</v>
      </c>
      <c r="C443" t="s">
        <v>463</v>
      </c>
      <c r="D443">
        <v>1</v>
      </c>
      <c r="E443" s="27">
        <v>73.02</v>
      </c>
      <c r="F443" s="28">
        <v>0</v>
      </c>
      <c r="G443" s="27">
        <v>73.02</v>
      </c>
      <c r="H443" s="27">
        <v>14.6</v>
      </c>
      <c r="I443" s="27">
        <v>87.62</v>
      </c>
    </row>
    <row r="444" ht="15" customHeight="1" spans="1:9">
      <c r="A444" t="s">
        <v>1412</v>
      </c>
      <c r="B444" t="s">
        <v>723</v>
      </c>
      <c r="C444" t="s">
        <v>438</v>
      </c>
      <c r="D444">
        <v>2</v>
      </c>
      <c r="E444" s="27">
        <v>295.97</v>
      </c>
      <c r="F444" s="28">
        <v>0</v>
      </c>
      <c r="G444" s="27">
        <v>591.94</v>
      </c>
      <c r="H444" s="27">
        <v>118.39</v>
      </c>
      <c r="I444" s="27">
        <v>710.33</v>
      </c>
    </row>
    <row r="445" ht="15" customHeight="1" spans="1:9">
      <c r="A445" t="s">
        <v>1413</v>
      </c>
      <c r="B445" t="s">
        <v>724</v>
      </c>
      <c r="C445" t="s">
        <v>423</v>
      </c>
      <c r="D445">
        <v>1</v>
      </c>
      <c r="E445" s="27">
        <v>46.02</v>
      </c>
      <c r="F445" s="28">
        <v>0.1</v>
      </c>
      <c r="G445" s="27">
        <v>41.42</v>
      </c>
      <c r="H445" s="27">
        <v>8.28</v>
      </c>
      <c r="I445" s="27">
        <v>49.7</v>
      </c>
    </row>
    <row r="446" ht="15" customHeight="1" spans="1:9">
      <c r="A446" t="s">
        <v>1414</v>
      </c>
      <c r="B446" t="s">
        <v>725</v>
      </c>
      <c r="C446" t="s">
        <v>475</v>
      </c>
      <c r="D446">
        <v>8</v>
      </c>
      <c r="E446" s="27">
        <v>42</v>
      </c>
      <c r="F446" s="28">
        <v>0.15</v>
      </c>
      <c r="G446" s="27">
        <v>285.6</v>
      </c>
      <c r="H446" s="27">
        <v>57.12</v>
      </c>
      <c r="I446" s="27">
        <v>342.72</v>
      </c>
    </row>
    <row r="447" ht="15" customHeight="1" spans="1:9">
      <c r="A447" t="s">
        <v>1415</v>
      </c>
      <c r="B447" t="s">
        <v>725</v>
      </c>
      <c r="C447" t="s">
        <v>366</v>
      </c>
      <c r="D447">
        <v>2</v>
      </c>
      <c r="E447" s="27">
        <v>1103.64</v>
      </c>
      <c r="F447" s="28">
        <v>0</v>
      </c>
      <c r="G447" s="27">
        <v>2207.28</v>
      </c>
      <c r="H447" s="27">
        <v>441.46</v>
      </c>
      <c r="I447" s="27">
        <v>2648.74</v>
      </c>
    </row>
    <row r="448" ht="15" customHeight="1" spans="1:9">
      <c r="A448" t="s">
        <v>1416</v>
      </c>
      <c r="B448" t="s">
        <v>726</v>
      </c>
      <c r="C448" t="s">
        <v>423</v>
      </c>
      <c r="D448">
        <v>4</v>
      </c>
      <c r="E448" s="27">
        <v>46.02</v>
      </c>
      <c r="F448" s="28">
        <v>0.05</v>
      </c>
      <c r="G448" s="27">
        <v>174.88</v>
      </c>
      <c r="H448" s="27">
        <v>34.98</v>
      </c>
      <c r="I448" s="27">
        <v>209.86</v>
      </c>
    </row>
    <row r="449" ht="15" customHeight="1" spans="1:9">
      <c r="A449" t="s">
        <v>1417</v>
      </c>
      <c r="B449" t="s">
        <v>726</v>
      </c>
      <c r="C449" t="s">
        <v>406</v>
      </c>
      <c r="D449">
        <v>1</v>
      </c>
      <c r="E449" s="27">
        <v>18.86</v>
      </c>
      <c r="F449" s="28">
        <v>0</v>
      </c>
      <c r="G449" s="27">
        <v>18.86</v>
      </c>
      <c r="H449" s="27">
        <v>3.77</v>
      </c>
      <c r="I449" s="27">
        <v>22.63</v>
      </c>
    </row>
    <row r="450" ht="15" customHeight="1" spans="1:9">
      <c r="A450" t="s">
        <v>1418</v>
      </c>
      <c r="B450" t="s">
        <v>727</v>
      </c>
      <c r="C450" t="s">
        <v>452</v>
      </c>
      <c r="D450">
        <v>2</v>
      </c>
      <c r="E450" s="27">
        <v>381.57</v>
      </c>
      <c r="F450" s="28">
        <v>0</v>
      </c>
      <c r="G450" s="27">
        <v>763.14</v>
      </c>
      <c r="H450" s="27">
        <v>152.63</v>
      </c>
      <c r="I450" s="27">
        <v>915.77</v>
      </c>
    </row>
    <row r="451" ht="15" customHeight="1" spans="1:9">
      <c r="A451" t="s">
        <v>1419</v>
      </c>
      <c r="B451" t="s">
        <v>727</v>
      </c>
      <c r="C451" t="s">
        <v>463</v>
      </c>
      <c r="D451">
        <v>1</v>
      </c>
      <c r="E451" s="27">
        <v>73.02</v>
      </c>
      <c r="F451" s="28">
        <v>0</v>
      </c>
      <c r="G451" s="27">
        <v>73.02</v>
      </c>
      <c r="H451" s="27">
        <v>14.6</v>
      </c>
      <c r="I451" s="27">
        <v>87.62</v>
      </c>
    </row>
    <row r="452" ht="15" customHeight="1" spans="1:9">
      <c r="A452" t="s">
        <v>1420</v>
      </c>
      <c r="B452" t="s">
        <v>728</v>
      </c>
      <c r="C452" t="s">
        <v>473</v>
      </c>
      <c r="D452">
        <v>1</v>
      </c>
      <c r="E452" s="27">
        <v>40.73</v>
      </c>
      <c r="F452" s="28">
        <v>0</v>
      </c>
      <c r="G452" s="27">
        <v>40.73</v>
      </c>
      <c r="H452" s="27">
        <v>8.15</v>
      </c>
      <c r="I452" s="27">
        <v>48.88</v>
      </c>
    </row>
    <row r="453" ht="15" customHeight="1" spans="1:9">
      <c r="A453" t="s">
        <v>1421</v>
      </c>
      <c r="B453" t="s">
        <v>729</v>
      </c>
      <c r="C453" t="s">
        <v>427</v>
      </c>
      <c r="D453">
        <v>1</v>
      </c>
      <c r="E453" s="27">
        <v>25.25</v>
      </c>
      <c r="F453" s="28">
        <v>0.15</v>
      </c>
      <c r="G453" s="27">
        <v>21.46</v>
      </c>
      <c r="H453" s="27">
        <v>4.29</v>
      </c>
      <c r="I453" s="27">
        <v>25.75</v>
      </c>
    </row>
    <row r="454" ht="15" customHeight="1" spans="1:9">
      <c r="A454" t="s">
        <v>1422</v>
      </c>
      <c r="B454" t="s">
        <v>730</v>
      </c>
      <c r="C454" t="s">
        <v>461</v>
      </c>
      <c r="D454">
        <v>1</v>
      </c>
      <c r="E454" s="27">
        <v>59.83</v>
      </c>
      <c r="F454" s="28">
        <v>0</v>
      </c>
      <c r="G454" s="27">
        <v>59.83</v>
      </c>
      <c r="H454" s="27">
        <v>11.97</v>
      </c>
      <c r="I454" s="27">
        <v>71.8</v>
      </c>
    </row>
    <row r="455" ht="15" customHeight="1" spans="1:9">
      <c r="A455" t="s">
        <v>1423</v>
      </c>
      <c r="B455" t="s">
        <v>730</v>
      </c>
      <c r="C455" t="s">
        <v>393</v>
      </c>
      <c r="D455">
        <v>3</v>
      </c>
      <c r="E455" s="27">
        <v>196.18</v>
      </c>
      <c r="F455" s="28">
        <v>0.1</v>
      </c>
      <c r="G455" s="27">
        <v>529.69</v>
      </c>
      <c r="H455" s="27">
        <v>105.94</v>
      </c>
      <c r="I455" s="27">
        <v>635.63</v>
      </c>
    </row>
    <row r="456" ht="15" customHeight="1" spans="1:9">
      <c r="A456" t="s">
        <v>1424</v>
      </c>
      <c r="B456" t="s">
        <v>730</v>
      </c>
      <c r="C456" t="s">
        <v>396</v>
      </c>
      <c r="D456">
        <v>1</v>
      </c>
      <c r="E456" s="27">
        <v>225.64</v>
      </c>
      <c r="F456" s="28">
        <v>0.05</v>
      </c>
      <c r="G456" s="27">
        <v>214.36</v>
      </c>
      <c r="H456" s="27">
        <v>42.87</v>
      </c>
      <c r="I456" s="27">
        <v>257.23</v>
      </c>
    </row>
    <row r="457" ht="15" customHeight="1" spans="1:9">
      <c r="A457" t="s">
        <v>1425</v>
      </c>
      <c r="B457" t="s">
        <v>730</v>
      </c>
      <c r="C457" t="s">
        <v>389</v>
      </c>
      <c r="D457">
        <v>3</v>
      </c>
      <c r="E457" s="27">
        <v>120.37</v>
      </c>
      <c r="F457" s="28">
        <v>0.15</v>
      </c>
      <c r="G457" s="27">
        <v>306.94</v>
      </c>
      <c r="H457" s="27">
        <v>61.39</v>
      </c>
      <c r="I457" s="27">
        <v>368.33</v>
      </c>
    </row>
    <row r="458" ht="15" customHeight="1" spans="1:9">
      <c r="A458" t="s">
        <v>1426</v>
      </c>
      <c r="B458" t="s">
        <v>731</v>
      </c>
      <c r="C458" t="s">
        <v>412</v>
      </c>
      <c r="D458">
        <v>1</v>
      </c>
      <c r="E458" s="27">
        <v>114.1</v>
      </c>
      <c r="F458" s="28">
        <v>0</v>
      </c>
      <c r="G458" s="27">
        <v>114.1</v>
      </c>
      <c r="H458" s="27">
        <v>22.82</v>
      </c>
      <c r="I458" s="27">
        <v>136.92</v>
      </c>
    </row>
    <row r="459" ht="15" customHeight="1" spans="1:9">
      <c r="A459" t="s">
        <v>1427</v>
      </c>
      <c r="B459" t="s">
        <v>732</v>
      </c>
      <c r="C459" t="s">
        <v>456</v>
      </c>
      <c r="D459">
        <v>2</v>
      </c>
      <c r="E459" s="27">
        <v>62.13</v>
      </c>
      <c r="F459" s="28">
        <v>0.1</v>
      </c>
      <c r="G459" s="27">
        <v>111.83</v>
      </c>
      <c r="H459" s="27">
        <v>22.37</v>
      </c>
      <c r="I459" s="27">
        <v>134.2</v>
      </c>
    </row>
    <row r="460" ht="15" customHeight="1" spans="1:9">
      <c r="A460" t="s">
        <v>1428</v>
      </c>
      <c r="B460" t="s">
        <v>733</v>
      </c>
      <c r="C460" t="s">
        <v>391</v>
      </c>
      <c r="D460">
        <v>1</v>
      </c>
      <c r="E460" s="27">
        <v>138.13</v>
      </c>
      <c r="F460" s="28">
        <v>0</v>
      </c>
      <c r="G460" s="27">
        <v>138.13</v>
      </c>
      <c r="H460" s="27">
        <v>27.63</v>
      </c>
      <c r="I460" s="27">
        <v>165.76</v>
      </c>
    </row>
    <row r="461" ht="15" customHeight="1" spans="1:9">
      <c r="A461" t="s">
        <v>1429</v>
      </c>
      <c r="B461" t="s">
        <v>733</v>
      </c>
      <c r="C461" t="s">
        <v>417</v>
      </c>
      <c r="D461">
        <v>1</v>
      </c>
      <c r="E461" s="27">
        <v>59.79</v>
      </c>
      <c r="F461" s="28">
        <v>0.1</v>
      </c>
      <c r="G461" s="27">
        <v>53.81</v>
      </c>
      <c r="H461" s="27">
        <v>10.76</v>
      </c>
      <c r="I461" s="27">
        <v>64.57</v>
      </c>
    </row>
    <row r="462" ht="15" customHeight="1" spans="1:9">
      <c r="A462" t="s">
        <v>1430</v>
      </c>
      <c r="B462" t="s">
        <v>734</v>
      </c>
      <c r="C462" t="s">
        <v>396</v>
      </c>
      <c r="D462">
        <v>1</v>
      </c>
      <c r="E462" s="27">
        <v>225.64</v>
      </c>
      <c r="F462" s="28">
        <v>0</v>
      </c>
      <c r="G462" s="27">
        <v>225.64</v>
      </c>
      <c r="H462" s="27">
        <v>45.13</v>
      </c>
      <c r="I462" s="27">
        <v>270.77</v>
      </c>
    </row>
    <row r="463" ht="15" customHeight="1" spans="1:9">
      <c r="A463" t="s">
        <v>1431</v>
      </c>
      <c r="B463" t="s">
        <v>734</v>
      </c>
      <c r="C463" t="s">
        <v>366</v>
      </c>
      <c r="D463">
        <v>2</v>
      </c>
      <c r="E463" s="27">
        <v>1103.64</v>
      </c>
      <c r="F463" s="28">
        <v>0</v>
      </c>
      <c r="G463" s="27">
        <v>2207.28</v>
      </c>
      <c r="H463" s="27">
        <v>441.46</v>
      </c>
      <c r="I463" s="27">
        <v>2648.74</v>
      </c>
    </row>
    <row r="464" ht="15" customHeight="1" spans="1:9">
      <c r="A464" t="s">
        <v>1432</v>
      </c>
      <c r="B464" t="s">
        <v>735</v>
      </c>
      <c r="C464" t="s">
        <v>456</v>
      </c>
      <c r="D464">
        <v>1</v>
      </c>
      <c r="E464" s="27">
        <v>62.13</v>
      </c>
      <c r="F464" s="28">
        <v>0.05</v>
      </c>
      <c r="G464" s="27">
        <v>59.02</v>
      </c>
      <c r="H464" s="27">
        <v>11.8</v>
      </c>
      <c r="I464" s="27">
        <v>70.82</v>
      </c>
    </row>
    <row r="465" ht="15" customHeight="1" spans="1:9">
      <c r="A465" t="s">
        <v>1433</v>
      </c>
      <c r="B465" t="s">
        <v>735</v>
      </c>
      <c r="C465" t="s">
        <v>435</v>
      </c>
      <c r="D465">
        <v>1</v>
      </c>
      <c r="E465" s="27">
        <v>262.34</v>
      </c>
      <c r="F465" s="28">
        <v>0</v>
      </c>
      <c r="G465" s="27">
        <v>262.34</v>
      </c>
      <c r="H465" s="27">
        <v>52.47</v>
      </c>
      <c r="I465" s="27">
        <v>314.81</v>
      </c>
    </row>
    <row r="466" ht="15" customHeight="1" spans="1:9">
      <c r="A466" t="s">
        <v>1434</v>
      </c>
      <c r="B466" t="s">
        <v>736</v>
      </c>
      <c r="C466" t="s">
        <v>456</v>
      </c>
      <c r="D466">
        <v>3</v>
      </c>
      <c r="E466" s="27">
        <v>62.13</v>
      </c>
      <c r="F466" s="28">
        <v>0</v>
      </c>
      <c r="G466" s="27">
        <v>186.39</v>
      </c>
      <c r="H466" s="27">
        <v>37.28</v>
      </c>
      <c r="I466" s="27">
        <v>223.67</v>
      </c>
    </row>
    <row r="467" ht="15" customHeight="1" spans="1:9">
      <c r="A467" t="s">
        <v>1435</v>
      </c>
      <c r="B467" t="s">
        <v>736</v>
      </c>
      <c r="C467" t="s">
        <v>465</v>
      </c>
      <c r="D467">
        <v>4</v>
      </c>
      <c r="E467" s="27">
        <v>44.16</v>
      </c>
      <c r="F467" s="28">
        <v>0</v>
      </c>
      <c r="G467" s="27">
        <v>176.64</v>
      </c>
      <c r="H467" s="27">
        <v>35.33</v>
      </c>
      <c r="I467" s="27">
        <v>211.97</v>
      </c>
    </row>
    <row r="468" ht="15" customHeight="1" spans="1:9">
      <c r="A468" t="s">
        <v>1436</v>
      </c>
      <c r="B468" t="s">
        <v>736</v>
      </c>
      <c r="C468" t="s">
        <v>389</v>
      </c>
      <c r="D468">
        <v>1</v>
      </c>
      <c r="E468" s="27">
        <v>120.37</v>
      </c>
      <c r="F468" s="28">
        <v>0.1</v>
      </c>
      <c r="G468" s="27">
        <v>108.33</v>
      </c>
      <c r="H468" s="27">
        <v>21.67</v>
      </c>
      <c r="I468" s="27">
        <v>130</v>
      </c>
    </row>
    <row r="469" ht="15" customHeight="1" spans="1:9">
      <c r="A469" t="s">
        <v>1437</v>
      </c>
      <c r="B469" t="s">
        <v>737</v>
      </c>
      <c r="C469" t="s">
        <v>442</v>
      </c>
      <c r="D469">
        <v>2</v>
      </c>
      <c r="E469" s="27">
        <v>374.59</v>
      </c>
      <c r="F469" s="28">
        <v>0</v>
      </c>
      <c r="G469" s="27">
        <v>749.18</v>
      </c>
      <c r="H469" s="27">
        <v>149.84</v>
      </c>
      <c r="I469" s="27">
        <v>899.02</v>
      </c>
    </row>
    <row r="470" ht="15" customHeight="1" spans="1:9">
      <c r="A470" t="s">
        <v>1438</v>
      </c>
      <c r="B470" t="s">
        <v>737</v>
      </c>
      <c r="C470" t="s">
        <v>429</v>
      </c>
      <c r="D470">
        <v>4</v>
      </c>
      <c r="E470" s="27">
        <v>32.75</v>
      </c>
      <c r="F470" s="28">
        <v>0</v>
      </c>
      <c r="G470" s="27">
        <v>131</v>
      </c>
      <c r="H470" s="27">
        <v>26.2</v>
      </c>
      <c r="I470" s="27">
        <v>157.2</v>
      </c>
    </row>
    <row r="471" ht="15" customHeight="1" spans="1:9">
      <c r="A471" t="s">
        <v>1439</v>
      </c>
      <c r="B471" t="s">
        <v>738</v>
      </c>
      <c r="C471" t="s">
        <v>402</v>
      </c>
      <c r="D471">
        <v>3</v>
      </c>
      <c r="E471" s="27">
        <v>26.57</v>
      </c>
      <c r="F471" s="28">
        <v>0</v>
      </c>
      <c r="G471" s="27">
        <v>79.71</v>
      </c>
      <c r="H471" s="27">
        <v>15.94</v>
      </c>
      <c r="I471" s="27">
        <v>95.65</v>
      </c>
    </row>
    <row r="472" ht="15" customHeight="1" spans="1:9">
      <c r="A472" t="s">
        <v>1440</v>
      </c>
      <c r="B472" t="s">
        <v>739</v>
      </c>
      <c r="C472" t="s">
        <v>406</v>
      </c>
      <c r="D472">
        <v>3</v>
      </c>
      <c r="E472" s="27">
        <v>18.86</v>
      </c>
      <c r="F472" s="28">
        <v>0.1</v>
      </c>
      <c r="G472" s="27">
        <v>50.92</v>
      </c>
      <c r="H472" s="27">
        <v>10.18</v>
      </c>
      <c r="I472" s="27">
        <v>61.1</v>
      </c>
    </row>
    <row r="473" ht="15" customHeight="1" spans="1:9">
      <c r="A473" t="s">
        <v>1441</v>
      </c>
      <c r="B473" t="s">
        <v>739</v>
      </c>
      <c r="C473" t="s">
        <v>374</v>
      </c>
      <c r="D473">
        <v>2</v>
      </c>
      <c r="E473" s="27">
        <v>251.56</v>
      </c>
      <c r="F473" s="28">
        <v>0</v>
      </c>
      <c r="G473" s="27">
        <v>503.12</v>
      </c>
      <c r="H473" s="27">
        <v>100.62</v>
      </c>
      <c r="I473" s="27">
        <v>603.74</v>
      </c>
    </row>
    <row r="474" ht="15" customHeight="1" spans="1:9">
      <c r="A474" t="s">
        <v>1442</v>
      </c>
      <c r="B474" t="s">
        <v>739</v>
      </c>
      <c r="C474" t="s">
        <v>461</v>
      </c>
      <c r="D474">
        <v>1</v>
      </c>
      <c r="E474" s="27">
        <v>59.83</v>
      </c>
      <c r="F474" s="28">
        <v>0</v>
      </c>
      <c r="G474" s="27">
        <v>59.83</v>
      </c>
      <c r="H474" s="27">
        <v>11.97</v>
      </c>
      <c r="I474" s="27">
        <v>71.8</v>
      </c>
    </row>
    <row r="475" ht="15" customHeight="1" spans="1:9">
      <c r="A475" t="s">
        <v>1443</v>
      </c>
      <c r="B475" t="s">
        <v>739</v>
      </c>
      <c r="C475" t="s">
        <v>374</v>
      </c>
      <c r="D475">
        <v>2</v>
      </c>
      <c r="E475" s="27">
        <v>251.56</v>
      </c>
      <c r="F475" s="28">
        <v>0.05</v>
      </c>
      <c r="G475" s="27">
        <v>477.96</v>
      </c>
      <c r="H475" s="27">
        <v>95.59</v>
      </c>
      <c r="I475" s="27">
        <v>573.55</v>
      </c>
    </row>
    <row r="476" ht="15" customHeight="1" spans="1:9">
      <c r="A476" t="s">
        <v>1444</v>
      </c>
      <c r="B476" t="s">
        <v>740</v>
      </c>
      <c r="C476" t="s">
        <v>456</v>
      </c>
      <c r="D476">
        <v>1</v>
      </c>
      <c r="E476" s="27">
        <v>62.13</v>
      </c>
      <c r="F476" s="28">
        <v>0.05</v>
      </c>
      <c r="G476" s="27">
        <v>59.02</v>
      </c>
      <c r="H476" s="27">
        <v>11.8</v>
      </c>
      <c r="I476" s="27">
        <v>70.82</v>
      </c>
    </row>
    <row r="477" ht="15" customHeight="1" spans="1:9">
      <c r="A477" t="s">
        <v>1445</v>
      </c>
      <c r="B477" t="s">
        <v>740</v>
      </c>
      <c r="C477" t="s">
        <v>461</v>
      </c>
      <c r="D477">
        <v>1</v>
      </c>
      <c r="E477" s="27">
        <v>59.83</v>
      </c>
      <c r="F477" s="28">
        <v>0.1</v>
      </c>
      <c r="G477" s="27">
        <v>53.85</v>
      </c>
      <c r="H477" s="27">
        <v>10.77</v>
      </c>
      <c r="I477" s="27">
        <v>64.62</v>
      </c>
    </row>
    <row r="478" ht="15" customHeight="1" spans="1:9">
      <c r="A478" t="s">
        <v>1446</v>
      </c>
      <c r="B478" t="s">
        <v>740</v>
      </c>
      <c r="C478" t="s">
        <v>408</v>
      </c>
      <c r="D478">
        <v>2</v>
      </c>
      <c r="E478" s="27">
        <v>19.65</v>
      </c>
      <c r="F478" s="28">
        <v>0.15</v>
      </c>
      <c r="G478" s="27">
        <v>33.4</v>
      </c>
      <c r="H478" s="27">
        <v>6.68</v>
      </c>
      <c r="I478" s="27">
        <v>40.08</v>
      </c>
    </row>
    <row r="479" ht="15" customHeight="1" spans="1:9">
      <c r="A479" t="s">
        <v>1447</v>
      </c>
      <c r="B479" t="s">
        <v>741</v>
      </c>
      <c r="C479" t="s">
        <v>398</v>
      </c>
      <c r="D479">
        <v>3</v>
      </c>
      <c r="E479" s="27">
        <v>383.91</v>
      </c>
      <c r="F479" s="28">
        <v>0.1</v>
      </c>
      <c r="G479" s="27">
        <v>1036.56</v>
      </c>
      <c r="H479" s="27">
        <v>207.31</v>
      </c>
      <c r="I479" s="27">
        <v>1243.87</v>
      </c>
    </row>
    <row r="480" ht="15" customHeight="1" spans="1:9">
      <c r="A480" t="s">
        <v>1448</v>
      </c>
      <c r="B480" t="s">
        <v>742</v>
      </c>
      <c r="C480" t="s">
        <v>435</v>
      </c>
      <c r="D480">
        <v>1</v>
      </c>
      <c r="E480" s="27">
        <v>262.34</v>
      </c>
      <c r="F480" s="28">
        <v>0</v>
      </c>
      <c r="G480" s="27">
        <v>262.34</v>
      </c>
      <c r="H480" s="27">
        <v>52.47</v>
      </c>
      <c r="I480" s="27">
        <v>314.81</v>
      </c>
    </row>
    <row r="481" ht="15" customHeight="1" spans="1:9">
      <c r="A481" t="s">
        <v>1449</v>
      </c>
      <c r="B481" t="s">
        <v>742</v>
      </c>
      <c r="C481" t="s">
        <v>366</v>
      </c>
      <c r="D481">
        <v>2</v>
      </c>
      <c r="E481" s="27">
        <v>1103.64</v>
      </c>
      <c r="F481" s="28">
        <v>0</v>
      </c>
      <c r="G481" s="27">
        <v>2207.28</v>
      </c>
      <c r="H481" s="27">
        <v>441.46</v>
      </c>
      <c r="I481" s="27">
        <v>2648.74</v>
      </c>
    </row>
    <row r="482" ht="15" customHeight="1" spans="1:9">
      <c r="A482" t="s">
        <v>1450</v>
      </c>
      <c r="B482" t="s">
        <v>742</v>
      </c>
      <c r="C482" t="s">
        <v>448</v>
      </c>
      <c r="D482">
        <v>2</v>
      </c>
      <c r="E482" s="27">
        <v>543.43</v>
      </c>
      <c r="F482" s="28">
        <v>0</v>
      </c>
      <c r="G482" s="27">
        <v>1086.86</v>
      </c>
      <c r="H482" s="27">
        <v>217.37</v>
      </c>
      <c r="I482" s="27">
        <v>1304.23</v>
      </c>
    </row>
    <row r="483" ht="15" customHeight="1" spans="1:9">
      <c r="A483" t="s">
        <v>1451</v>
      </c>
      <c r="B483" t="s">
        <v>743</v>
      </c>
      <c r="C483" t="s">
        <v>433</v>
      </c>
      <c r="D483">
        <v>10</v>
      </c>
      <c r="E483" s="27">
        <v>58.14</v>
      </c>
      <c r="F483" s="28">
        <v>0</v>
      </c>
      <c r="G483" s="27">
        <v>581.4</v>
      </c>
      <c r="H483" s="27">
        <v>116.28</v>
      </c>
      <c r="I483" s="27">
        <v>697.68</v>
      </c>
    </row>
    <row r="484" ht="15" customHeight="1" spans="1:9">
      <c r="A484" t="s">
        <v>1452</v>
      </c>
      <c r="B484" t="s">
        <v>743</v>
      </c>
      <c r="C484" t="s">
        <v>406</v>
      </c>
      <c r="D484">
        <v>2</v>
      </c>
      <c r="E484" s="27">
        <v>18.86</v>
      </c>
      <c r="F484" s="28">
        <v>0</v>
      </c>
      <c r="G484" s="27">
        <v>37.72</v>
      </c>
      <c r="H484" s="27">
        <v>7.54</v>
      </c>
      <c r="I484" s="27">
        <v>45.26</v>
      </c>
    </row>
    <row r="485" ht="15" customHeight="1" spans="1:9">
      <c r="A485" t="s">
        <v>1453</v>
      </c>
      <c r="B485" t="s">
        <v>744</v>
      </c>
      <c r="C485" t="s">
        <v>383</v>
      </c>
      <c r="D485">
        <v>4</v>
      </c>
      <c r="E485" s="27">
        <v>39.08</v>
      </c>
      <c r="F485" s="28">
        <v>0</v>
      </c>
      <c r="G485" s="27">
        <v>156.32</v>
      </c>
      <c r="H485" s="27">
        <v>31.26</v>
      </c>
      <c r="I485" s="27">
        <v>187.58</v>
      </c>
    </row>
    <row r="486" ht="15" customHeight="1" spans="1:9">
      <c r="A486" t="s">
        <v>1454</v>
      </c>
      <c r="B486" t="s">
        <v>744</v>
      </c>
      <c r="C486" t="s">
        <v>366</v>
      </c>
      <c r="D486">
        <v>4</v>
      </c>
      <c r="E486" s="27">
        <v>1103.64</v>
      </c>
      <c r="F486" s="28">
        <v>0.15</v>
      </c>
      <c r="G486" s="27">
        <v>3752.38</v>
      </c>
      <c r="H486" s="27">
        <v>750.48</v>
      </c>
      <c r="I486" s="27">
        <v>4502.86</v>
      </c>
    </row>
    <row r="487" ht="15" customHeight="1" spans="1:9">
      <c r="A487" t="s">
        <v>1455</v>
      </c>
      <c r="B487" t="s">
        <v>744</v>
      </c>
      <c r="C487" t="s">
        <v>459</v>
      </c>
      <c r="D487">
        <v>1</v>
      </c>
      <c r="E487" s="27">
        <v>70.8</v>
      </c>
      <c r="F487" s="28">
        <v>0</v>
      </c>
      <c r="G487" s="27">
        <v>70.8</v>
      </c>
      <c r="H487" s="27">
        <v>14.16</v>
      </c>
      <c r="I487" s="27">
        <v>84.96</v>
      </c>
    </row>
    <row r="488" ht="15" customHeight="1" spans="1:9">
      <c r="A488" t="s">
        <v>1456</v>
      </c>
      <c r="B488" t="s">
        <v>745</v>
      </c>
      <c r="C488" t="s">
        <v>425</v>
      </c>
      <c r="D488">
        <v>8</v>
      </c>
      <c r="E488" s="27">
        <v>36.08</v>
      </c>
      <c r="F488" s="28">
        <v>0</v>
      </c>
      <c r="G488" s="27">
        <v>288.64</v>
      </c>
      <c r="H488" s="27">
        <v>57.73</v>
      </c>
      <c r="I488" s="27">
        <v>346.37</v>
      </c>
    </row>
    <row r="489" ht="15" customHeight="1" spans="1:9">
      <c r="A489" t="s">
        <v>1457</v>
      </c>
      <c r="B489" t="s">
        <v>746</v>
      </c>
      <c r="C489" t="s">
        <v>469</v>
      </c>
      <c r="D489">
        <v>1</v>
      </c>
      <c r="E489" s="27">
        <v>30.71</v>
      </c>
      <c r="F489" s="28">
        <v>0</v>
      </c>
      <c r="G489" s="27">
        <v>30.71</v>
      </c>
      <c r="H489" s="27">
        <v>6.14</v>
      </c>
      <c r="I489" s="27">
        <v>36.85</v>
      </c>
    </row>
    <row r="490" ht="15" customHeight="1" spans="1:9">
      <c r="A490" t="s">
        <v>1458</v>
      </c>
      <c r="B490" t="s">
        <v>747</v>
      </c>
      <c r="C490" t="s">
        <v>475</v>
      </c>
      <c r="D490">
        <v>1</v>
      </c>
      <c r="E490" s="27">
        <v>42</v>
      </c>
      <c r="F490" s="28">
        <v>0</v>
      </c>
      <c r="G490" s="27">
        <v>42</v>
      </c>
      <c r="H490" s="27">
        <v>8.4</v>
      </c>
      <c r="I490" s="27">
        <v>50.4</v>
      </c>
    </row>
    <row r="491" ht="15" customHeight="1" spans="1:9">
      <c r="A491" t="s">
        <v>1459</v>
      </c>
      <c r="B491" t="s">
        <v>747</v>
      </c>
      <c r="C491" t="s">
        <v>463</v>
      </c>
      <c r="D491">
        <v>4</v>
      </c>
      <c r="E491" s="27">
        <v>73.02</v>
      </c>
      <c r="F491" s="28">
        <v>0.15</v>
      </c>
      <c r="G491" s="27">
        <v>248.27</v>
      </c>
      <c r="H491" s="27">
        <v>49.65</v>
      </c>
      <c r="I491" s="27">
        <v>297.92</v>
      </c>
    </row>
    <row r="492" ht="15" customHeight="1" spans="1:9">
      <c r="A492" t="s">
        <v>1460</v>
      </c>
      <c r="B492" t="s">
        <v>748</v>
      </c>
      <c r="C492" t="s">
        <v>459</v>
      </c>
      <c r="D492">
        <v>1</v>
      </c>
      <c r="E492" s="27">
        <v>70.8</v>
      </c>
      <c r="F492" s="28">
        <v>0.15</v>
      </c>
      <c r="G492" s="27">
        <v>60.18</v>
      </c>
      <c r="H492" s="27">
        <v>12.04</v>
      </c>
      <c r="I492" s="27">
        <v>72.22</v>
      </c>
    </row>
    <row r="493" ht="15" customHeight="1" spans="1:9">
      <c r="A493" t="s">
        <v>1461</v>
      </c>
      <c r="B493" t="s">
        <v>749</v>
      </c>
      <c r="C493" t="s">
        <v>469</v>
      </c>
      <c r="D493">
        <v>1</v>
      </c>
      <c r="E493" s="27">
        <v>30.71</v>
      </c>
      <c r="F493" s="28">
        <v>0</v>
      </c>
      <c r="G493" s="27">
        <v>30.71</v>
      </c>
      <c r="H493" s="27">
        <v>6.14</v>
      </c>
      <c r="I493" s="27">
        <v>36.85</v>
      </c>
    </row>
    <row r="494" ht="15" customHeight="1" spans="1:9">
      <c r="A494" t="s">
        <v>1462</v>
      </c>
      <c r="B494" t="s">
        <v>749</v>
      </c>
      <c r="C494" t="s">
        <v>461</v>
      </c>
      <c r="D494">
        <v>2</v>
      </c>
      <c r="E494" s="27">
        <v>59.83</v>
      </c>
      <c r="F494" s="28">
        <v>0.05</v>
      </c>
      <c r="G494" s="27">
        <v>113.68</v>
      </c>
      <c r="H494" s="27">
        <v>22.74</v>
      </c>
      <c r="I494" s="27">
        <v>136.42</v>
      </c>
    </row>
    <row r="495" ht="15" customHeight="1" spans="1:9">
      <c r="A495" t="s">
        <v>1463</v>
      </c>
      <c r="B495" t="s">
        <v>750</v>
      </c>
      <c r="C495" t="s">
        <v>393</v>
      </c>
      <c r="D495">
        <v>1</v>
      </c>
      <c r="E495" s="27">
        <v>196.18</v>
      </c>
      <c r="F495" s="28">
        <v>0.05</v>
      </c>
      <c r="G495" s="27">
        <v>186.37</v>
      </c>
      <c r="H495" s="27">
        <v>37.27</v>
      </c>
      <c r="I495" s="27">
        <v>223.64</v>
      </c>
    </row>
    <row r="496" ht="15" customHeight="1" spans="1:9">
      <c r="A496" t="s">
        <v>1464</v>
      </c>
      <c r="B496" t="s">
        <v>750</v>
      </c>
      <c r="C496" t="s">
        <v>414</v>
      </c>
      <c r="D496">
        <v>1</v>
      </c>
      <c r="E496" s="27">
        <v>63.96</v>
      </c>
      <c r="F496" s="28">
        <v>0</v>
      </c>
      <c r="G496" s="27">
        <v>63.96</v>
      </c>
      <c r="H496" s="27">
        <v>12.79</v>
      </c>
      <c r="I496" s="27">
        <v>76.75</v>
      </c>
    </row>
    <row r="497" ht="15" customHeight="1" spans="1:9">
      <c r="A497" t="s">
        <v>1465</v>
      </c>
      <c r="B497" t="s">
        <v>750</v>
      </c>
      <c r="C497" t="s">
        <v>374</v>
      </c>
      <c r="D497">
        <v>2</v>
      </c>
      <c r="E497" s="27">
        <v>251.56</v>
      </c>
      <c r="F497" s="28">
        <v>0.1</v>
      </c>
      <c r="G497" s="27">
        <v>452.81</v>
      </c>
      <c r="H497" s="27">
        <v>90.56</v>
      </c>
      <c r="I497" s="27">
        <v>543.37</v>
      </c>
    </row>
    <row r="498" ht="15" customHeight="1" spans="1:9">
      <c r="A498" t="s">
        <v>1466</v>
      </c>
      <c r="B498" t="s">
        <v>750</v>
      </c>
      <c r="C498" t="s">
        <v>459</v>
      </c>
      <c r="D498">
        <v>1</v>
      </c>
      <c r="E498" s="27">
        <v>70.8</v>
      </c>
      <c r="F498" s="28">
        <v>0</v>
      </c>
      <c r="G498" s="27">
        <v>70.8</v>
      </c>
      <c r="H498" s="27">
        <v>14.16</v>
      </c>
      <c r="I498" s="27">
        <v>84.96</v>
      </c>
    </row>
    <row r="499" ht="15" customHeight="1" spans="1:9">
      <c r="A499" t="s">
        <v>1467</v>
      </c>
      <c r="B499" t="s">
        <v>751</v>
      </c>
      <c r="C499" t="s">
        <v>438</v>
      </c>
      <c r="D499">
        <v>3</v>
      </c>
      <c r="E499" s="27">
        <v>295.97</v>
      </c>
      <c r="F499" s="28">
        <v>0</v>
      </c>
      <c r="G499" s="27">
        <v>887.91</v>
      </c>
      <c r="H499" s="27">
        <v>177.58</v>
      </c>
      <c r="I499" s="27">
        <v>1065.49</v>
      </c>
    </row>
    <row r="500" ht="15" customHeight="1" spans="1:9">
      <c r="A500" t="s">
        <v>1468</v>
      </c>
      <c r="B500" t="s">
        <v>751</v>
      </c>
      <c r="C500" t="s">
        <v>383</v>
      </c>
      <c r="D500">
        <v>1</v>
      </c>
      <c r="E500" s="27">
        <v>39.08</v>
      </c>
      <c r="F500" s="28">
        <v>0</v>
      </c>
      <c r="G500" s="27">
        <v>39.08</v>
      </c>
      <c r="H500" s="27">
        <v>7.82</v>
      </c>
      <c r="I500" s="27">
        <v>46.9</v>
      </c>
    </row>
    <row r="501" ht="15" customHeight="1" spans="1:9">
      <c r="A501" t="s">
        <v>1469</v>
      </c>
      <c r="B501" t="s">
        <v>752</v>
      </c>
      <c r="C501" t="s">
        <v>433</v>
      </c>
      <c r="D501">
        <v>5</v>
      </c>
      <c r="E501" s="27">
        <v>58.14</v>
      </c>
      <c r="F501" s="28">
        <v>0</v>
      </c>
      <c r="G501" s="27">
        <v>290.7</v>
      </c>
      <c r="H501" s="27">
        <v>58.14</v>
      </c>
      <c r="I501" s="27">
        <v>348.84</v>
      </c>
    </row>
    <row r="502" ht="15" customHeight="1" spans="1:9">
      <c r="A502" t="s">
        <v>1470</v>
      </c>
      <c r="B502" t="s">
        <v>752</v>
      </c>
      <c r="C502" t="s">
        <v>374</v>
      </c>
      <c r="D502">
        <v>3</v>
      </c>
      <c r="E502" s="27">
        <v>251.56</v>
      </c>
      <c r="F502" s="28">
        <v>0.05</v>
      </c>
      <c r="G502" s="27">
        <v>716.95</v>
      </c>
      <c r="H502" s="27">
        <v>143.39</v>
      </c>
      <c r="I502" s="27">
        <v>860.34</v>
      </c>
    </row>
    <row r="503" ht="15" customHeight="1" spans="1:9">
      <c r="A503" t="s">
        <v>1471</v>
      </c>
      <c r="B503" t="s">
        <v>752</v>
      </c>
      <c r="C503" t="s">
        <v>417</v>
      </c>
      <c r="D503">
        <v>2</v>
      </c>
      <c r="E503" s="27">
        <v>59.79</v>
      </c>
      <c r="F503" s="28">
        <v>0.1</v>
      </c>
      <c r="G503" s="27">
        <v>107.62</v>
      </c>
      <c r="H503" s="27">
        <v>21.52</v>
      </c>
      <c r="I503" s="27">
        <v>129.14</v>
      </c>
    </row>
    <row r="504" ht="15" customHeight="1" spans="1:9">
      <c r="A504" t="s">
        <v>1472</v>
      </c>
      <c r="B504" t="s">
        <v>753</v>
      </c>
      <c r="C504" t="s">
        <v>456</v>
      </c>
      <c r="D504">
        <v>8</v>
      </c>
      <c r="E504" s="27">
        <v>62.13</v>
      </c>
      <c r="F504" s="28">
        <v>0</v>
      </c>
      <c r="G504" s="27">
        <v>497.04</v>
      </c>
      <c r="H504" s="27">
        <v>99.41</v>
      </c>
      <c r="I504" s="27">
        <v>596.45</v>
      </c>
    </row>
    <row r="505" ht="15" customHeight="1" spans="1:9">
      <c r="A505" t="s">
        <v>1473</v>
      </c>
      <c r="B505" t="s">
        <v>753</v>
      </c>
      <c r="C505" t="s">
        <v>446</v>
      </c>
      <c r="D505">
        <v>2</v>
      </c>
      <c r="E505" s="27">
        <v>454.43</v>
      </c>
      <c r="F505" s="28">
        <v>0.15</v>
      </c>
      <c r="G505" s="27">
        <v>772.53</v>
      </c>
      <c r="H505" s="27">
        <v>154.51</v>
      </c>
      <c r="I505" s="27">
        <v>927.04</v>
      </c>
    </row>
    <row r="506" ht="15" customHeight="1" spans="1:9">
      <c r="A506" t="s">
        <v>1474</v>
      </c>
      <c r="B506" t="s">
        <v>754</v>
      </c>
      <c r="C506" t="s">
        <v>398</v>
      </c>
      <c r="D506">
        <v>1</v>
      </c>
      <c r="E506" s="27">
        <v>383.91</v>
      </c>
      <c r="F506" s="28">
        <v>0.05</v>
      </c>
      <c r="G506" s="27">
        <v>364.71</v>
      </c>
      <c r="H506" s="27">
        <v>72.94</v>
      </c>
      <c r="I506" s="27">
        <v>437.65</v>
      </c>
    </row>
    <row r="507" ht="15" customHeight="1" spans="1:9">
      <c r="A507" t="s">
        <v>1475</v>
      </c>
      <c r="B507" t="s">
        <v>755</v>
      </c>
      <c r="C507" t="s">
        <v>463</v>
      </c>
      <c r="D507">
        <v>2</v>
      </c>
      <c r="E507" s="27">
        <v>73.02</v>
      </c>
      <c r="F507" s="28">
        <v>0.05</v>
      </c>
      <c r="G507" s="27">
        <v>138.74</v>
      </c>
      <c r="H507" s="27">
        <v>27.75</v>
      </c>
      <c r="I507" s="27">
        <v>166.49</v>
      </c>
    </row>
    <row r="508" ht="15" customHeight="1" spans="1:9">
      <c r="A508" t="s">
        <v>1476</v>
      </c>
      <c r="B508" t="s">
        <v>755</v>
      </c>
      <c r="C508" t="s">
        <v>433</v>
      </c>
      <c r="D508">
        <v>2</v>
      </c>
      <c r="E508" s="27">
        <v>58.14</v>
      </c>
      <c r="F508" s="28">
        <v>0.1</v>
      </c>
      <c r="G508" s="27">
        <v>104.65</v>
      </c>
      <c r="H508" s="27">
        <v>20.93</v>
      </c>
      <c r="I508" s="27">
        <v>125.58</v>
      </c>
    </row>
    <row r="509" ht="15" customHeight="1" spans="1:9">
      <c r="A509" t="s">
        <v>1477</v>
      </c>
      <c r="B509" t="s">
        <v>755</v>
      </c>
      <c r="C509" t="s">
        <v>389</v>
      </c>
      <c r="D509">
        <v>8</v>
      </c>
      <c r="E509" s="27">
        <v>120.37</v>
      </c>
      <c r="F509" s="28">
        <v>0</v>
      </c>
      <c r="G509" s="27">
        <v>962.96</v>
      </c>
      <c r="H509" s="27">
        <v>192.59</v>
      </c>
      <c r="I509" s="27">
        <v>1155.55</v>
      </c>
    </row>
    <row r="510" ht="15" customHeight="1" spans="1:9">
      <c r="A510" t="s">
        <v>1478</v>
      </c>
      <c r="B510" t="s">
        <v>755</v>
      </c>
      <c r="C510" t="s">
        <v>442</v>
      </c>
      <c r="D510">
        <v>3</v>
      </c>
      <c r="E510" s="27">
        <v>374.59</v>
      </c>
      <c r="F510" s="28">
        <v>0.1</v>
      </c>
      <c r="G510" s="27">
        <v>1011.39</v>
      </c>
      <c r="H510" s="27">
        <v>202.28</v>
      </c>
      <c r="I510" s="27">
        <v>1213.67</v>
      </c>
    </row>
    <row r="511" ht="15" customHeight="1" spans="1:9">
      <c r="A511" t="s">
        <v>1479</v>
      </c>
      <c r="B511" t="s">
        <v>756</v>
      </c>
      <c r="C511" t="s">
        <v>389</v>
      </c>
      <c r="D511">
        <v>1</v>
      </c>
      <c r="E511" s="27">
        <v>120.37</v>
      </c>
      <c r="F511" s="28">
        <v>0.15</v>
      </c>
      <c r="G511" s="27">
        <v>102.31</v>
      </c>
      <c r="H511" s="27">
        <v>20.46</v>
      </c>
      <c r="I511" s="27">
        <v>122.77</v>
      </c>
    </row>
    <row r="512" ht="15" customHeight="1" spans="1:9">
      <c r="A512" t="s">
        <v>1480</v>
      </c>
      <c r="B512" t="s">
        <v>756</v>
      </c>
      <c r="C512" t="s">
        <v>452</v>
      </c>
      <c r="D512">
        <v>2</v>
      </c>
      <c r="E512" s="27">
        <v>381.57</v>
      </c>
      <c r="F512" s="28">
        <v>0</v>
      </c>
      <c r="G512" s="27">
        <v>763.14</v>
      </c>
      <c r="H512" s="27">
        <v>152.63</v>
      </c>
      <c r="I512" s="27">
        <v>915.77</v>
      </c>
    </row>
    <row r="513" ht="15" customHeight="1" spans="1:9">
      <c r="A513" t="s">
        <v>1481</v>
      </c>
      <c r="B513" t="s">
        <v>756</v>
      </c>
      <c r="C513" t="s">
        <v>440</v>
      </c>
      <c r="D513">
        <v>4</v>
      </c>
      <c r="E513" s="27">
        <v>391.34</v>
      </c>
      <c r="F513" s="28">
        <v>0.05</v>
      </c>
      <c r="G513" s="27">
        <v>1487.09</v>
      </c>
      <c r="H513" s="27">
        <v>297.42</v>
      </c>
      <c r="I513" s="27">
        <v>1784.51</v>
      </c>
    </row>
    <row r="514" ht="15" customHeight="1" spans="1:9">
      <c r="A514" t="s">
        <v>1482</v>
      </c>
      <c r="B514" t="s">
        <v>757</v>
      </c>
      <c r="C514" t="s">
        <v>389</v>
      </c>
      <c r="D514">
        <v>1</v>
      </c>
      <c r="E514" s="27">
        <v>120.37</v>
      </c>
      <c r="F514" s="28">
        <v>0.1</v>
      </c>
      <c r="G514" s="27">
        <v>108.33</v>
      </c>
      <c r="H514" s="27">
        <v>21.67</v>
      </c>
      <c r="I514" s="27">
        <v>130</v>
      </c>
    </row>
    <row r="515" ht="15" customHeight="1" spans="1:9">
      <c r="A515" t="s">
        <v>1483</v>
      </c>
      <c r="B515" t="s">
        <v>757</v>
      </c>
      <c r="C515" t="s">
        <v>465</v>
      </c>
      <c r="D515">
        <v>4</v>
      </c>
      <c r="E515" s="27">
        <v>44.16</v>
      </c>
      <c r="F515" s="28">
        <v>0.1</v>
      </c>
      <c r="G515" s="27">
        <v>158.98</v>
      </c>
      <c r="H515" s="27">
        <v>31.8</v>
      </c>
      <c r="I515" s="27">
        <v>190.78</v>
      </c>
    </row>
    <row r="516" ht="15" customHeight="1" spans="1:9">
      <c r="A516" t="s">
        <v>1484</v>
      </c>
      <c r="B516" t="s">
        <v>758</v>
      </c>
      <c r="C516" t="s">
        <v>467</v>
      </c>
      <c r="D516">
        <v>1</v>
      </c>
      <c r="E516" s="27">
        <v>49.53</v>
      </c>
      <c r="F516" s="28">
        <v>0</v>
      </c>
      <c r="G516" s="27">
        <v>49.53</v>
      </c>
      <c r="H516" s="27">
        <v>9.91</v>
      </c>
      <c r="I516" s="27">
        <v>59.44</v>
      </c>
    </row>
    <row r="517" ht="15" customHeight="1" spans="1:9">
      <c r="A517" t="s">
        <v>1485</v>
      </c>
      <c r="B517" t="s">
        <v>759</v>
      </c>
      <c r="C517" t="s">
        <v>461</v>
      </c>
      <c r="D517">
        <v>3</v>
      </c>
      <c r="E517" s="27">
        <v>59.83</v>
      </c>
      <c r="F517" s="28">
        <v>0.15</v>
      </c>
      <c r="G517" s="27">
        <v>152.57</v>
      </c>
      <c r="H517" s="27">
        <v>30.51</v>
      </c>
      <c r="I517" s="27">
        <v>183.08</v>
      </c>
    </row>
    <row r="518" ht="15" customHeight="1" spans="1:9">
      <c r="A518" t="s">
        <v>1486</v>
      </c>
      <c r="B518" t="s">
        <v>759</v>
      </c>
      <c r="C518" t="s">
        <v>471</v>
      </c>
      <c r="D518">
        <v>4</v>
      </c>
      <c r="E518" s="27">
        <v>35.83</v>
      </c>
      <c r="F518" s="28">
        <v>0.1</v>
      </c>
      <c r="G518" s="27">
        <v>128.99</v>
      </c>
      <c r="H518" s="27">
        <v>25.8</v>
      </c>
      <c r="I518" s="27">
        <v>154.79</v>
      </c>
    </row>
    <row r="519" ht="15" customHeight="1" spans="1:9">
      <c r="A519" t="s">
        <v>1487</v>
      </c>
      <c r="B519" t="s">
        <v>760</v>
      </c>
      <c r="C519" t="s">
        <v>461</v>
      </c>
      <c r="D519">
        <v>1</v>
      </c>
      <c r="E519" s="27">
        <v>59.83</v>
      </c>
      <c r="F519" s="28">
        <v>0</v>
      </c>
      <c r="G519" s="27">
        <v>59.83</v>
      </c>
      <c r="H519" s="27">
        <v>11.97</v>
      </c>
      <c r="I519" s="27">
        <v>71.8</v>
      </c>
    </row>
    <row r="520" ht="15" customHeight="1" spans="1:9">
      <c r="A520" t="s">
        <v>1488</v>
      </c>
      <c r="B520" t="s">
        <v>761</v>
      </c>
      <c r="C520" t="s">
        <v>372</v>
      </c>
      <c r="D520">
        <v>1</v>
      </c>
      <c r="E520" s="27">
        <v>216.77</v>
      </c>
      <c r="F520" s="28">
        <v>0.05</v>
      </c>
      <c r="G520" s="27">
        <v>205.93</v>
      </c>
      <c r="H520" s="27">
        <v>41.19</v>
      </c>
      <c r="I520" s="27">
        <v>247.12</v>
      </c>
    </row>
    <row r="521" ht="15" customHeight="1" spans="1:9">
      <c r="A521" t="s">
        <v>1489</v>
      </c>
      <c r="B521" t="s">
        <v>761</v>
      </c>
      <c r="C521" t="s">
        <v>383</v>
      </c>
      <c r="D521">
        <v>2</v>
      </c>
      <c r="E521" s="27">
        <v>39.08</v>
      </c>
      <c r="F521" s="28">
        <v>0.15</v>
      </c>
      <c r="G521" s="27">
        <v>66.44</v>
      </c>
      <c r="H521" s="27">
        <v>13.29</v>
      </c>
      <c r="I521" s="27">
        <v>79.73</v>
      </c>
    </row>
    <row r="522" ht="15" customHeight="1" spans="1:9">
      <c r="A522" t="s">
        <v>1490</v>
      </c>
      <c r="B522" t="s">
        <v>761</v>
      </c>
      <c r="C522" t="s">
        <v>471</v>
      </c>
      <c r="D522">
        <v>2</v>
      </c>
      <c r="E522" s="27">
        <v>35.83</v>
      </c>
      <c r="F522" s="28">
        <v>0</v>
      </c>
      <c r="G522" s="27">
        <v>71.66</v>
      </c>
      <c r="H522" s="27">
        <v>14.33</v>
      </c>
      <c r="I522" s="27">
        <v>85.99</v>
      </c>
    </row>
    <row r="523" ht="15" customHeight="1" spans="1:9">
      <c r="A523" t="s">
        <v>1491</v>
      </c>
      <c r="B523" t="s">
        <v>762</v>
      </c>
      <c r="C523" t="s">
        <v>423</v>
      </c>
      <c r="D523">
        <v>1</v>
      </c>
      <c r="E523" s="27">
        <v>46.02</v>
      </c>
      <c r="F523" s="28">
        <v>0.15</v>
      </c>
      <c r="G523" s="27">
        <v>39.12</v>
      </c>
      <c r="H523" s="27">
        <v>7.82</v>
      </c>
      <c r="I523" s="27">
        <v>46.94</v>
      </c>
    </row>
    <row r="524" ht="15" customHeight="1" spans="1:9">
      <c r="A524" t="s">
        <v>1492</v>
      </c>
      <c r="B524" t="s">
        <v>762</v>
      </c>
      <c r="C524" t="s">
        <v>414</v>
      </c>
      <c r="D524">
        <v>8</v>
      </c>
      <c r="E524" s="27">
        <v>63.96</v>
      </c>
      <c r="F524" s="28">
        <v>0</v>
      </c>
      <c r="G524" s="27">
        <v>511.68</v>
      </c>
      <c r="H524" s="27">
        <v>102.34</v>
      </c>
      <c r="I524" s="27">
        <v>614.02</v>
      </c>
    </row>
    <row r="525" ht="15" customHeight="1" spans="1:9">
      <c r="A525" t="s">
        <v>1493</v>
      </c>
      <c r="B525" t="s">
        <v>762</v>
      </c>
      <c r="C525" t="s">
        <v>366</v>
      </c>
      <c r="D525">
        <v>3</v>
      </c>
      <c r="E525" s="27">
        <v>1103.64</v>
      </c>
      <c r="F525" s="28">
        <v>0</v>
      </c>
      <c r="G525" s="27">
        <v>3310.92</v>
      </c>
      <c r="H525" s="27">
        <v>662.18</v>
      </c>
      <c r="I525" s="27">
        <v>3973.1</v>
      </c>
    </row>
    <row r="526" ht="15" customHeight="1" spans="1:9">
      <c r="A526" t="s">
        <v>1494</v>
      </c>
      <c r="B526" t="s">
        <v>762</v>
      </c>
      <c r="C526" t="s">
        <v>454</v>
      </c>
      <c r="D526">
        <v>4</v>
      </c>
      <c r="E526" s="27">
        <v>375.86</v>
      </c>
      <c r="F526" s="28">
        <v>0.05</v>
      </c>
      <c r="G526" s="27">
        <v>1428.27</v>
      </c>
      <c r="H526" s="27">
        <v>285.65</v>
      </c>
      <c r="I526" s="27">
        <v>1713.92</v>
      </c>
    </row>
    <row r="527" ht="15" customHeight="1" spans="1:9">
      <c r="A527" t="s">
        <v>1495</v>
      </c>
      <c r="B527" t="s">
        <v>763</v>
      </c>
      <c r="C527" t="s">
        <v>463</v>
      </c>
      <c r="D527">
        <v>1</v>
      </c>
      <c r="E527" s="27">
        <v>73.02</v>
      </c>
      <c r="F527" s="28">
        <v>0</v>
      </c>
      <c r="G527" s="27">
        <v>73.02</v>
      </c>
      <c r="H527" s="27">
        <v>14.6</v>
      </c>
      <c r="I527" s="27">
        <v>87.62</v>
      </c>
    </row>
    <row r="528" ht="15" customHeight="1" spans="1:9">
      <c r="A528" t="s">
        <v>1496</v>
      </c>
      <c r="B528" t="s">
        <v>763</v>
      </c>
      <c r="C528" t="s">
        <v>471</v>
      </c>
      <c r="D528">
        <v>2</v>
      </c>
      <c r="E528" s="27">
        <v>35.83</v>
      </c>
      <c r="F528" s="28">
        <v>0.05</v>
      </c>
      <c r="G528" s="27">
        <v>68.08</v>
      </c>
      <c r="H528" s="27">
        <v>13.62</v>
      </c>
      <c r="I528" s="27">
        <v>81.7</v>
      </c>
    </row>
    <row r="529" ht="15" customHeight="1" spans="1:9">
      <c r="A529" t="s">
        <v>1497</v>
      </c>
      <c r="B529" t="s">
        <v>764</v>
      </c>
      <c r="C529" t="s">
        <v>467</v>
      </c>
      <c r="D529">
        <v>5</v>
      </c>
      <c r="E529" s="27">
        <v>49.53</v>
      </c>
      <c r="F529" s="28">
        <v>0</v>
      </c>
      <c r="G529" s="27">
        <v>247.65</v>
      </c>
      <c r="H529" s="27">
        <v>49.53</v>
      </c>
      <c r="I529" s="27">
        <v>297.18</v>
      </c>
    </row>
    <row r="530" ht="15" customHeight="1" spans="1:9">
      <c r="A530" t="s">
        <v>1498</v>
      </c>
      <c r="B530" t="s">
        <v>764</v>
      </c>
      <c r="C530" t="s">
        <v>391</v>
      </c>
      <c r="D530">
        <v>5</v>
      </c>
      <c r="E530" s="27">
        <v>138.13</v>
      </c>
      <c r="F530" s="28">
        <v>0.1</v>
      </c>
      <c r="G530" s="27">
        <v>621.59</v>
      </c>
      <c r="H530" s="27">
        <v>124.32</v>
      </c>
      <c r="I530" s="27">
        <v>745.91</v>
      </c>
    </row>
    <row r="531" ht="15" customHeight="1" spans="1:9">
      <c r="A531" t="s">
        <v>1499</v>
      </c>
      <c r="B531" t="s">
        <v>765</v>
      </c>
      <c r="C531" t="s">
        <v>414</v>
      </c>
      <c r="D531">
        <v>2</v>
      </c>
      <c r="E531" s="27">
        <v>63.96</v>
      </c>
      <c r="F531" s="28">
        <v>0</v>
      </c>
      <c r="G531" s="27">
        <v>127.92</v>
      </c>
      <c r="H531" s="27">
        <v>25.58</v>
      </c>
      <c r="I531" s="27">
        <v>153.5</v>
      </c>
    </row>
    <row r="532" ht="15" customHeight="1" spans="1:9">
      <c r="A532" t="s">
        <v>1500</v>
      </c>
      <c r="B532" t="s">
        <v>765</v>
      </c>
      <c r="C532" t="s">
        <v>442</v>
      </c>
      <c r="D532">
        <v>1</v>
      </c>
      <c r="E532" s="27">
        <v>374.59</v>
      </c>
      <c r="F532" s="28">
        <v>0.1</v>
      </c>
      <c r="G532" s="27">
        <v>337.13</v>
      </c>
      <c r="H532" s="27">
        <v>67.43</v>
      </c>
      <c r="I532" s="27">
        <v>404.56</v>
      </c>
    </row>
    <row r="533" ht="15" customHeight="1" spans="1:9">
      <c r="A533" t="s">
        <v>1501</v>
      </c>
      <c r="B533" t="s">
        <v>765</v>
      </c>
      <c r="C533" t="s">
        <v>393</v>
      </c>
      <c r="D533">
        <v>1</v>
      </c>
      <c r="E533" s="27">
        <v>196.18</v>
      </c>
      <c r="F533" s="28">
        <v>0.1</v>
      </c>
      <c r="G533" s="27">
        <v>176.56</v>
      </c>
      <c r="H533" s="27">
        <v>35.31</v>
      </c>
      <c r="I533" s="27">
        <v>211.87</v>
      </c>
    </row>
    <row r="534" ht="15" customHeight="1" spans="1:9">
      <c r="A534" t="s">
        <v>1502</v>
      </c>
      <c r="B534" t="s">
        <v>766</v>
      </c>
      <c r="C534" t="s">
        <v>400</v>
      </c>
      <c r="D534">
        <v>5</v>
      </c>
      <c r="E534" s="27">
        <v>328.03</v>
      </c>
      <c r="F534" s="28">
        <v>0.1</v>
      </c>
      <c r="G534" s="27">
        <v>1476.13</v>
      </c>
      <c r="H534" s="27">
        <v>295.23</v>
      </c>
      <c r="I534" s="27">
        <v>1771.36</v>
      </c>
    </row>
    <row r="535" ht="15" customHeight="1" spans="1:9">
      <c r="A535" t="s">
        <v>1503</v>
      </c>
      <c r="B535" t="s">
        <v>766</v>
      </c>
      <c r="C535" t="s">
        <v>442</v>
      </c>
      <c r="D535">
        <v>2</v>
      </c>
      <c r="E535" s="27">
        <v>374.59</v>
      </c>
      <c r="F535" s="28">
        <v>0.1</v>
      </c>
      <c r="G535" s="27">
        <v>674.26</v>
      </c>
      <c r="H535" s="27">
        <v>134.85</v>
      </c>
      <c r="I535" s="27">
        <v>809.11</v>
      </c>
    </row>
    <row r="536" ht="15" customHeight="1" spans="1:9">
      <c r="A536" t="s">
        <v>1504</v>
      </c>
      <c r="B536" t="s">
        <v>767</v>
      </c>
      <c r="C536" t="s">
        <v>414</v>
      </c>
      <c r="D536">
        <v>1</v>
      </c>
      <c r="E536" s="27">
        <v>63.96</v>
      </c>
      <c r="F536" s="28">
        <v>0</v>
      </c>
      <c r="G536" s="27">
        <v>63.96</v>
      </c>
      <c r="H536" s="27">
        <v>12.79</v>
      </c>
      <c r="I536" s="27">
        <v>76.75</v>
      </c>
    </row>
    <row r="537" ht="15" customHeight="1" spans="1:9">
      <c r="A537" t="s">
        <v>1505</v>
      </c>
      <c r="B537" t="s">
        <v>767</v>
      </c>
      <c r="C537" t="s">
        <v>423</v>
      </c>
      <c r="D537">
        <v>1</v>
      </c>
      <c r="E537" s="27">
        <v>46.02</v>
      </c>
      <c r="F537" s="28">
        <v>0.15</v>
      </c>
      <c r="G537" s="27">
        <v>39.12</v>
      </c>
      <c r="H537" s="27">
        <v>7.82</v>
      </c>
      <c r="I537" s="27">
        <v>46.94</v>
      </c>
    </row>
    <row r="538" ht="15" customHeight="1" spans="1:9">
      <c r="A538" t="s">
        <v>1506</v>
      </c>
      <c r="B538" t="s">
        <v>767</v>
      </c>
      <c r="C538" t="s">
        <v>410</v>
      </c>
      <c r="D538">
        <v>1</v>
      </c>
      <c r="E538" s="27">
        <v>106.93</v>
      </c>
      <c r="F538" s="28">
        <v>0.1</v>
      </c>
      <c r="G538" s="27">
        <v>96.24</v>
      </c>
      <c r="H538" s="27">
        <v>19.25</v>
      </c>
      <c r="I538" s="27">
        <v>115.49</v>
      </c>
    </row>
    <row r="539" ht="15" customHeight="1" spans="1:9">
      <c r="A539" t="s">
        <v>1507</v>
      </c>
      <c r="B539" t="s">
        <v>768</v>
      </c>
      <c r="C539" t="s">
        <v>380</v>
      </c>
      <c r="D539">
        <v>5</v>
      </c>
      <c r="E539" s="27">
        <v>80.3</v>
      </c>
      <c r="F539" s="28">
        <v>0</v>
      </c>
      <c r="G539" s="27">
        <v>401.5</v>
      </c>
      <c r="H539" s="27">
        <v>80.3</v>
      </c>
      <c r="I539" s="27">
        <v>481.8</v>
      </c>
    </row>
    <row r="540" ht="15" customHeight="1" spans="1:9">
      <c r="A540" t="s">
        <v>1508</v>
      </c>
      <c r="B540" t="s">
        <v>768</v>
      </c>
      <c r="C540" t="s">
        <v>475</v>
      </c>
      <c r="D540">
        <v>2</v>
      </c>
      <c r="E540" s="27">
        <v>42</v>
      </c>
      <c r="F540" s="28">
        <v>0</v>
      </c>
      <c r="G540" s="27">
        <v>84</v>
      </c>
      <c r="H540" s="27">
        <v>16.8</v>
      </c>
      <c r="I540" s="27">
        <v>100.8</v>
      </c>
    </row>
    <row r="541" ht="15" customHeight="1" spans="1:9">
      <c r="A541" t="s">
        <v>1509</v>
      </c>
      <c r="B541" t="s">
        <v>769</v>
      </c>
      <c r="C541" t="s">
        <v>465</v>
      </c>
      <c r="D541">
        <v>4</v>
      </c>
      <c r="E541" s="27">
        <v>44.16</v>
      </c>
      <c r="F541" s="28">
        <v>0.15</v>
      </c>
      <c r="G541" s="27">
        <v>150.14</v>
      </c>
      <c r="H541" s="27">
        <v>30.03</v>
      </c>
      <c r="I541" s="27">
        <v>180.17</v>
      </c>
    </row>
    <row r="542" ht="15" customHeight="1" spans="1:9">
      <c r="A542" t="s">
        <v>1510</v>
      </c>
      <c r="B542" t="s">
        <v>770</v>
      </c>
      <c r="C542" t="s">
        <v>374</v>
      </c>
      <c r="D542">
        <v>1</v>
      </c>
      <c r="E542" s="27">
        <v>251.56</v>
      </c>
      <c r="F542" s="28">
        <v>0</v>
      </c>
      <c r="G542" s="27">
        <v>251.56</v>
      </c>
      <c r="H542" s="27">
        <v>50.31</v>
      </c>
      <c r="I542" s="27">
        <v>301.87</v>
      </c>
    </row>
    <row r="543" ht="15" customHeight="1" spans="1:9">
      <c r="A543" t="s">
        <v>1511</v>
      </c>
      <c r="B543" t="s">
        <v>771</v>
      </c>
      <c r="C543" t="s">
        <v>425</v>
      </c>
      <c r="D543">
        <v>1</v>
      </c>
      <c r="E543" s="27">
        <v>36.08</v>
      </c>
      <c r="F543" s="28">
        <v>0</v>
      </c>
      <c r="G543" s="27">
        <v>36.08</v>
      </c>
      <c r="H543" s="27">
        <v>7.22</v>
      </c>
      <c r="I543" s="27">
        <v>43.3</v>
      </c>
    </row>
    <row r="544" ht="15" customHeight="1" spans="1:9">
      <c r="A544" t="s">
        <v>1512</v>
      </c>
      <c r="B544" t="s">
        <v>771</v>
      </c>
      <c r="C544" t="s">
        <v>423</v>
      </c>
      <c r="D544">
        <v>2</v>
      </c>
      <c r="E544" s="27">
        <v>46.02</v>
      </c>
      <c r="F544" s="28">
        <v>0.1</v>
      </c>
      <c r="G544" s="27">
        <v>82.84</v>
      </c>
      <c r="H544" s="27">
        <v>16.57</v>
      </c>
      <c r="I544" s="27">
        <v>99.41</v>
      </c>
    </row>
    <row r="545" ht="15" customHeight="1" spans="1:9">
      <c r="A545" t="s">
        <v>1513</v>
      </c>
      <c r="B545" t="s">
        <v>772</v>
      </c>
      <c r="C545" t="s">
        <v>440</v>
      </c>
      <c r="D545">
        <v>1</v>
      </c>
      <c r="E545" s="27">
        <v>391.34</v>
      </c>
      <c r="F545" s="28">
        <v>0.15</v>
      </c>
      <c r="G545" s="27">
        <v>332.64</v>
      </c>
      <c r="H545" s="27">
        <v>66.53</v>
      </c>
      <c r="I545" s="27">
        <v>399.17</v>
      </c>
    </row>
    <row r="546" ht="15" customHeight="1" spans="1:9">
      <c r="A546" t="s">
        <v>1514</v>
      </c>
      <c r="B546" t="s">
        <v>772</v>
      </c>
      <c r="C546" t="s">
        <v>412</v>
      </c>
      <c r="D546">
        <v>2</v>
      </c>
      <c r="E546" s="27">
        <v>114.1</v>
      </c>
      <c r="F546" s="28">
        <v>0</v>
      </c>
      <c r="G546" s="27">
        <v>228.2</v>
      </c>
      <c r="H546" s="27">
        <v>45.64</v>
      </c>
      <c r="I546" s="27">
        <v>273.84</v>
      </c>
    </row>
    <row r="547" ht="15" customHeight="1" spans="1:9">
      <c r="A547" t="s">
        <v>1515</v>
      </c>
      <c r="B547" t="s">
        <v>773</v>
      </c>
      <c r="C547" t="s">
        <v>444</v>
      </c>
      <c r="D547">
        <v>1</v>
      </c>
      <c r="E547" s="27">
        <v>442.3</v>
      </c>
      <c r="F547" s="28">
        <v>0.15</v>
      </c>
      <c r="G547" s="27">
        <v>375.95</v>
      </c>
      <c r="H547" s="27">
        <v>75.19</v>
      </c>
      <c r="I547" s="27">
        <v>451.14</v>
      </c>
    </row>
    <row r="548" ht="15" customHeight="1" spans="1:9">
      <c r="A548" t="s">
        <v>1516</v>
      </c>
      <c r="B548" t="s">
        <v>773</v>
      </c>
      <c r="C548" t="s">
        <v>391</v>
      </c>
      <c r="D548">
        <v>1</v>
      </c>
      <c r="E548" s="27">
        <v>138.13</v>
      </c>
      <c r="F548" s="28">
        <v>0.15</v>
      </c>
      <c r="G548" s="27">
        <v>117.41</v>
      </c>
      <c r="H548" s="27">
        <v>23.48</v>
      </c>
      <c r="I548" s="27">
        <v>140.89</v>
      </c>
    </row>
    <row r="549" ht="15" customHeight="1" spans="1:9">
      <c r="A549" t="s">
        <v>1517</v>
      </c>
      <c r="B549" t="s">
        <v>773</v>
      </c>
      <c r="C549" t="s">
        <v>459</v>
      </c>
      <c r="D549">
        <v>1</v>
      </c>
      <c r="E549" s="27">
        <v>70.8</v>
      </c>
      <c r="F549" s="28">
        <v>0</v>
      </c>
      <c r="G549" s="27">
        <v>70.8</v>
      </c>
      <c r="H549" s="27">
        <v>14.16</v>
      </c>
      <c r="I549" s="27">
        <v>84.96</v>
      </c>
    </row>
    <row r="550" ht="15" customHeight="1" spans="1:9">
      <c r="A550" t="s">
        <v>1518</v>
      </c>
      <c r="B550" t="s">
        <v>774</v>
      </c>
      <c r="C550" t="s">
        <v>380</v>
      </c>
      <c r="D550">
        <v>1</v>
      </c>
      <c r="E550" s="27">
        <v>80.3</v>
      </c>
      <c r="F550" s="28">
        <v>0.15</v>
      </c>
      <c r="G550" s="27">
        <v>68.25</v>
      </c>
      <c r="H550" s="27">
        <v>13.65</v>
      </c>
      <c r="I550" s="27">
        <v>81.9</v>
      </c>
    </row>
    <row r="551" ht="15" customHeight="1" spans="1:9">
      <c r="A551" t="s">
        <v>1519</v>
      </c>
      <c r="B551" t="s">
        <v>774</v>
      </c>
      <c r="C551" t="s">
        <v>471</v>
      </c>
      <c r="D551">
        <v>4</v>
      </c>
      <c r="E551" s="27">
        <v>35.83</v>
      </c>
      <c r="F551" s="28">
        <v>0</v>
      </c>
      <c r="G551" s="27">
        <v>143.32</v>
      </c>
      <c r="H551" s="27">
        <v>28.66</v>
      </c>
      <c r="I551" s="27">
        <v>171.98</v>
      </c>
    </row>
    <row r="552" ht="15" customHeight="1" spans="1:9">
      <c r="A552" t="s">
        <v>1520</v>
      </c>
      <c r="B552" t="s">
        <v>775</v>
      </c>
      <c r="C552" t="s">
        <v>396</v>
      </c>
      <c r="D552">
        <v>2</v>
      </c>
      <c r="E552" s="27">
        <v>225.64</v>
      </c>
      <c r="F552" s="28">
        <v>0.1</v>
      </c>
      <c r="G552" s="27">
        <v>406.15</v>
      </c>
      <c r="H552" s="27">
        <v>81.23</v>
      </c>
      <c r="I552" s="27">
        <v>487.38</v>
      </c>
    </row>
    <row r="553" ht="15" customHeight="1" spans="1:9">
      <c r="A553" t="s">
        <v>1521</v>
      </c>
      <c r="B553" t="s">
        <v>776</v>
      </c>
      <c r="C553" t="s">
        <v>406</v>
      </c>
      <c r="D553">
        <v>1</v>
      </c>
      <c r="E553" s="27">
        <v>18.86</v>
      </c>
      <c r="F553" s="28">
        <v>0.15</v>
      </c>
      <c r="G553" s="27">
        <v>16.03</v>
      </c>
      <c r="H553" s="27">
        <v>3.21</v>
      </c>
      <c r="I553" s="27">
        <v>19.24</v>
      </c>
    </row>
    <row r="554" ht="15" customHeight="1" spans="1:9">
      <c r="A554" t="s">
        <v>1522</v>
      </c>
      <c r="B554" t="s">
        <v>776</v>
      </c>
      <c r="C554" t="s">
        <v>450</v>
      </c>
      <c r="D554">
        <v>2</v>
      </c>
      <c r="E554" s="27">
        <v>538.29</v>
      </c>
      <c r="F554" s="28">
        <v>0</v>
      </c>
      <c r="G554" s="27">
        <v>1076.58</v>
      </c>
      <c r="H554" s="27">
        <v>215.32</v>
      </c>
      <c r="I554" s="27">
        <v>1291.9</v>
      </c>
    </row>
    <row r="555" ht="15" customHeight="1" spans="1:9">
      <c r="A555" t="s">
        <v>1523</v>
      </c>
      <c r="B555" t="s">
        <v>776</v>
      </c>
      <c r="C555" t="s">
        <v>419</v>
      </c>
      <c r="D555">
        <v>1</v>
      </c>
      <c r="E555" s="27">
        <v>100.34</v>
      </c>
      <c r="F555" s="28">
        <v>0.15</v>
      </c>
      <c r="G555" s="27">
        <v>85.29</v>
      </c>
      <c r="H555" s="27">
        <v>17.06</v>
      </c>
      <c r="I555" s="27">
        <v>102.35</v>
      </c>
    </row>
    <row r="556" ht="15" customHeight="1" spans="1:9">
      <c r="A556" t="s">
        <v>1524</v>
      </c>
      <c r="B556" t="s">
        <v>777</v>
      </c>
      <c r="C556" t="s">
        <v>454</v>
      </c>
      <c r="D556">
        <v>2</v>
      </c>
      <c r="E556" s="27">
        <v>375.86</v>
      </c>
      <c r="F556" s="28">
        <v>0.15</v>
      </c>
      <c r="G556" s="27">
        <v>638.96</v>
      </c>
      <c r="H556" s="27">
        <v>127.79</v>
      </c>
      <c r="I556" s="27">
        <v>766.75</v>
      </c>
    </row>
    <row r="557" ht="15" customHeight="1" spans="1:9">
      <c r="A557" t="s">
        <v>1525</v>
      </c>
      <c r="B557" t="s">
        <v>777</v>
      </c>
      <c r="C557" t="s">
        <v>450</v>
      </c>
      <c r="D557">
        <v>1</v>
      </c>
      <c r="E557" s="27">
        <v>538.29</v>
      </c>
      <c r="F557" s="28">
        <v>0.1</v>
      </c>
      <c r="G557" s="27">
        <v>484.46</v>
      </c>
      <c r="H557" s="27">
        <v>96.89</v>
      </c>
      <c r="I557" s="27">
        <v>581.35</v>
      </c>
    </row>
    <row r="558" ht="15" customHeight="1" spans="1:9">
      <c r="A558" t="s">
        <v>1526</v>
      </c>
      <c r="B558" t="s">
        <v>778</v>
      </c>
      <c r="C558" t="s">
        <v>467</v>
      </c>
      <c r="D558">
        <v>3</v>
      </c>
      <c r="E558" s="27">
        <v>49.53</v>
      </c>
      <c r="F558" s="28">
        <v>0.05</v>
      </c>
      <c r="G558" s="27">
        <v>141.16</v>
      </c>
      <c r="H558" s="27">
        <v>28.23</v>
      </c>
      <c r="I558" s="27">
        <v>169.39</v>
      </c>
    </row>
    <row r="559" ht="15" customHeight="1" spans="1:9">
      <c r="A559" t="s">
        <v>1527</v>
      </c>
      <c r="B559" t="s">
        <v>778</v>
      </c>
      <c r="C559" t="s">
        <v>408</v>
      </c>
      <c r="D559">
        <v>3</v>
      </c>
      <c r="E559" s="27">
        <v>19.65</v>
      </c>
      <c r="F559" s="28">
        <v>0</v>
      </c>
      <c r="G559" s="27">
        <v>58.95</v>
      </c>
      <c r="H559" s="27">
        <v>11.79</v>
      </c>
      <c r="I559" s="27">
        <v>70.74</v>
      </c>
    </row>
    <row r="560" ht="15" customHeight="1" spans="1:9">
      <c r="A560" t="s">
        <v>1528</v>
      </c>
      <c r="B560" t="s">
        <v>778</v>
      </c>
      <c r="C560" t="s">
        <v>463</v>
      </c>
      <c r="D560">
        <v>3</v>
      </c>
      <c r="E560" s="27">
        <v>73.02</v>
      </c>
      <c r="F560" s="28">
        <v>0.05</v>
      </c>
      <c r="G560" s="27">
        <v>208.11</v>
      </c>
      <c r="H560" s="27">
        <v>41.62</v>
      </c>
      <c r="I560" s="27">
        <v>249.73</v>
      </c>
    </row>
    <row r="561" ht="15" customHeight="1" spans="1:9">
      <c r="A561" t="s">
        <v>1529</v>
      </c>
      <c r="B561" t="s">
        <v>779</v>
      </c>
      <c r="C561" t="s">
        <v>380</v>
      </c>
      <c r="D561">
        <v>3</v>
      </c>
      <c r="E561" s="27">
        <v>80.3</v>
      </c>
      <c r="F561" s="28">
        <v>0</v>
      </c>
      <c r="G561" s="27">
        <v>240.9</v>
      </c>
      <c r="H561" s="27">
        <v>48.18</v>
      </c>
      <c r="I561" s="27">
        <v>289.08</v>
      </c>
    </row>
    <row r="562" ht="15" customHeight="1" spans="1:9">
      <c r="A562" t="s">
        <v>1530</v>
      </c>
      <c r="B562" t="s">
        <v>779</v>
      </c>
      <c r="C562" t="s">
        <v>444</v>
      </c>
      <c r="D562">
        <v>1</v>
      </c>
      <c r="E562" s="27">
        <v>442.3</v>
      </c>
      <c r="F562" s="28">
        <v>0.15</v>
      </c>
      <c r="G562" s="27">
        <v>375.95</v>
      </c>
      <c r="H562" s="27">
        <v>75.19</v>
      </c>
      <c r="I562" s="27">
        <v>451.14</v>
      </c>
    </row>
    <row r="563" ht="15" customHeight="1" spans="1:9">
      <c r="A563" t="s">
        <v>1531</v>
      </c>
      <c r="B563" t="s">
        <v>780</v>
      </c>
      <c r="C563" t="s">
        <v>400</v>
      </c>
      <c r="D563">
        <v>4</v>
      </c>
      <c r="E563" s="27">
        <v>328.03</v>
      </c>
      <c r="F563" s="28">
        <v>0.1</v>
      </c>
      <c r="G563" s="27">
        <v>1180.91</v>
      </c>
      <c r="H563" s="27">
        <v>236.18</v>
      </c>
      <c r="I563" s="27">
        <v>1417.09</v>
      </c>
    </row>
    <row r="564" ht="15" customHeight="1" spans="1:9">
      <c r="A564" t="s">
        <v>1532</v>
      </c>
      <c r="B564" t="s">
        <v>780</v>
      </c>
      <c r="C564" t="s">
        <v>406</v>
      </c>
      <c r="D564">
        <v>2</v>
      </c>
      <c r="E564" s="27">
        <v>18.86</v>
      </c>
      <c r="F564" s="28">
        <v>0.1</v>
      </c>
      <c r="G564" s="27">
        <v>33.95</v>
      </c>
      <c r="H564" s="27">
        <v>6.79</v>
      </c>
      <c r="I564" s="27">
        <v>40.74</v>
      </c>
    </row>
    <row r="565" ht="15" customHeight="1" spans="1:9">
      <c r="A565" t="s">
        <v>1533</v>
      </c>
      <c r="B565" t="s">
        <v>780</v>
      </c>
      <c r="C565" t="s">
        <v>435</v>
      </c>
      <c r="D565">
        <v>2</v>
      </c>
      <c r="E565" s="27">
        <v>262.34</v>
      </c>
      <c r="F565" s="28">
        <v>0</v>
      </c>
      <c r="G565" s="27">
        <v>524.68</v>
      </c>
      <c r="H565" s="27">
        <v>104.94</v>
      </c>
      <c r="I565" s="27">
        <v>629.62</v>
      </c>
    </row>
    <row r="566" ht="15" customHeight="1" spans="1:9">
      <c r="A566" t="s">
        <v>1534</v>
      </c>
      <c r="B566" t="s">
        <v>781</v>
      </c>
      <c r="C566" t="s">
        <v>366</v>
      </c>
      <c r="D566">
        <v>2</v>
      </c>
      <c r="E566" s="27">
        <v>1103.64</v>
      </c>
      <c r="F566" s="28">
        <v>0.1</v>
      </c>
      <c r="G566" s="27">
        <v>1986.55</v>
      </c>
      <c r="H566" s="27">
        <v>397.31</v>
      </c>
      <c r="I566" s="27">
        <v>2383.86</v>
      </c>
    </row>
    <row r="567" ht="15" customHeight="1" spans="1:9">
      <c r="A567" t="s">
        <v>1535</v>
      </c>
      <c r="B567" t="s">
        <v>781</v>
      </c>
      <c r="C567" t="s">
        <v>463</v>
      </c>
      <c r="D567">
        <v>1</v>
      </c>
      <c r="E567" s="27">
        <v>73.02</v>
      </c>
      <c r="F567" s="28">
        <v>0.1</v>
      </c>
      <c r="G567" s="27">
        <v>65.72</v>
      </c>
      <c r="H567" s="27">
        <v>13.14</v>
      </c>
      <c r="I567" s="27">
        <v>78.86</v>
      </c>
    </row>
    <row r="568" ht="15" customHeight="1" spans="1:9">
      <c r="A568" t="s">
        <v>1536</v>
      </c>
      <c r="B568" t="s">
        <v>782</v>
      </c>
      <c r="C568" t="s">
        <v>372</v>
      </c>
      <c r="D568">
        <v>1</v>
      </c>
      <c r="E568" s="27">
        <v>216.77</v>
      </c>
      <c r="F568" s="28">
        <v>0.05</v>
      </c>
      <c r="G568" s="27">
        <v>205.93</v>
      </c>
      <c r="H568" s="27">
        <v>41.19</v>
      </c>
      <c r="I568" s="27">
        <v>247.12</v>
      </c>
    </row>
    <row r="569" ht="15" customHeight="1" spans="1:9">
      <c r="A569" t="s">
        <v>1537</v>
      </c>
      <c r="B569" t="s">
        <v>782</v>
      </c>
      <c r="C569" t="s">
        <v>402</v>
      </c>
      <c r="D569">
        <v>1</v>
      </c>
      <c r="E569" s="27">
        <v>26.57</v>
      </c>
      <c r="F569" s="28">
        <v>0</v>
      </c>
      <c r="G569" s="27">
        <v>26.57</v>
      </c>
      <c r="H569" s="27">
        <v>5.31</v>
      </c>
      <c r="I569" s="27">
        <v>31.88</v>
      </c>
    </row>
    <row r="570" ht="15" customHeight="1" spans="1:9">
      <c r="A570" t="s">
        <v>1538</v>
      </c>
      <c r="B570" t="s">
        <v>782</v>
      </c>
      <c r="C570" t="s">
        <v>402</v>
      </c>
      <c r="D570">
        <v>1</v>
      </c>
      <c r="E570" s="27">
        <v>26.57</v>
      </c>
      <c r="F570" s="28">
        <v>0</v>
      </c>
      <c r="G570" s="27">
        <v>26.57</v>
      </c>
      <c r="H570" s="27">
        <v>5.31</v>
      </c>
      <c r="I570" s="27">
        <v>31.88</v>
      </c>
    </row>
    <row r="571" ht="15" customHeight="1" spans="1:9">
      <c r="A571" t="s">
        <v>1539</v>
      </c>
      <c r="B571" t="s">
        <v>782</v>
      </c>
      <c r="C571" t="s">
        <v>442</v>
      </c>
      <c r="D571">
        <v>4</v>
      </c>
      <c r="E571" s="27">
        <v>374.59</v>
      </c>
      <c r="F571" s="28">
        <v>0</v>
      </c>
      <c r="G571" s="27">
        <v>1498.36</v>
      </c>
      <c r="H571" s="27">
        <v>299.67</v>
      </c>
      <c r="I571" s="27">
        <v>1798.03</v>
      </c>
    </row>
    <row r="572" ht="15" customHeight="1" spans="1:9">
      <c r="A572" t="s">
        <v>1540</v>
      </c>
      <c r="B572" t="s">
        <v>783</v>
      </c>
      <c r="C572" t="s">
        <v>442</v>
      </c>
      <c r="D572">
        <v>2</v>
      </c>
      <c r="E572" s="27">
        <v>374.59</v>
      </c>
      <c r="F572" s="28">
        <v>0</v>
      </c>
      <c r="G572" s="27">
        <v>749.18</v>
      </c>
      <c r="H572" s="27">
        <v>149.84</v>
      </c>
      <c r="I572" s="27">
        <v>899.02</v>
      </c>
    </row>
    <row r="573" ht="15" customHeight="1" spans="1:9">
      <c r="A573" t="s">
        <v>1541</v>
      </c>
      <c r="B573" t="s">
        <v>783</v>
      </c>
      <c r="C573" t="s">
        <v>471</v>
      </c>
      <c r="D573">
        <v>1</v>
      </c>
      <c r="E573" s="27">
        <v>35.83</v>
      </c>
      <c r="F573" s="28">
        <v>0.1</v>
      </c>
      <c r="G573" s="27">
        <v>32.25</v>
      </c>
      <c r="H573" s="27">
        <v>6.45</v>
      </c>
      <c r="I573" s="27">
        <v>38.7</v>
      </c>
    </row>
    <row r="574" ht="15" customHeight="1" spans="1:9">
      <c r="A574" t="s">
        <v>1542</v>
      </c>
      <c r="B574" t="s">
        <v>783</v>
      </c>
      <c r="C574" t="s">
        <v>448</v>
      </c>
      <c r="D574">
        <v>1</v>
      </c>
      <c r="E574" s="27">
        <v>543.43</v>
      </c>
      <c r="F574" s="28">
        <v>0.15</v>
      </c>
      <c r="G574" s="27">
        <v>461.92</v>
      </c>
      <c r="H574" s="27">
        <v>92.38</v>
      </c>
      <c r="I574" s="27">
        <v>554.3</v>
      </c>
    </row>
    <row r="575" ht="15" customHeight="1" spans="1:9">
      <c r="A575" t="s">
        <v>1543</v>
      </c>
      <c r="B575" t="s">
        <v>784</v>
      </c>
      <c r="C575" t="s">
        <v>419</v>
      </c>
      <c r="D575">
        <v>3</v>
      </c>
      <c r="E575" s="27">
        <v>100.34</v>
      </c>
      <c r="F575" s="28">
        <v>0</v>
      </c>
      <c r="G575" s="27">
        <v>301.02</v>
      </c>
      <c r="H575" s="27">
        <v>60.2</v>
      </c>
      <c r="I575" s="27">
        <v>361.22</v>
      </c>
    </row>
    <row r="576" ht="15" customHeight="1" spans="1:9">
      <c r="A576" t="s">
        <v>1544</v>
      </c>
      <c r="B576" t="s">
        <v>784</v>
      </c>
      <c r="C576" t="s">
        <v>438</v>
      </c>
      <c r="D576">
        <v>3</v>
      </c>
      <c r="E576" s="27">
        <v>295.97</v>
      </c>
      <c r="F576" s="28">
        <v>0.1</v>
      </c>
      <c r="G576" s="27">
        <v>799.12</v>
      </c>
      <c r="H576" s="27">
        <v>159.82</v>
      </c>
      <c r="I576" s="27">
        <v>958.94</v>
      </c>
    </row>
    <row r="577" ht="15" customHeight="1" spans="1:9">
      <c r="A577" t="s">
        <v>1545</v>
      </c>
      <c r="B577" t="s">
        <v>785</v>
      </c>
      <c r="C577" t="s">
        <v>396</v>
      </c>
      <c r="D577">
        <v>1</v>
      </c>
      <c r="E577" s="27">
        <v>225.64</v>
      </c>
      <c r="F577" s="28">
        <v>0.1</v>
      </c>
      <c r="G577" s="27">
        <v>203.08</v>
      </c>
      <c r="H577" s="27">
        <v>40.62</v>
      </c>
      <c r="I577" s="27">
        <v>243.7</v>
      </c>
    </row>
    <row r="578" ht="15" customHeight="1" spans="1:9">
      <c r="A578" t="s">
        <v>1546</v>
      </c>
      <c r="B578" t="s">
        <v>786</v>
      </c>
      <c r="C578" t="s">
        <v>435</v>
      </c>
      <c r="D578">
        <v>1</v>
      </c>
      <c r="E578" s="27">
        <v>262.34</v>
      </c>
      <c r="F578" s="28">
        <v>0</v>
      </c>
      <c r="G578" s="27">
        <v>262.34</v>
      </c>
      <c r="H578" s="27">
        <v>52.47</v>
      </c>
      <c r="I578" s="27">
        <v>314.81</v>
      </c>
    </row>
    <row r="579" ht="15" customHeight="1" spans="1:9">
      <c r="A579" t="s">
        <v>1547</v>
      </c>
      <c r="B579" t="s">
        <v>786</v>
      </c>
      <c r="C579" t="s">
        <v>459</v>
      </c>
      <c r="D579">
        <v>3</v>
      </c>
      <c r="E579" s="27">
        <v>70.8</v>
      </c>
      <c r="F579" s="28">
        <v>0</v>
      </c>
      <c r="G579" s="27">
        <v>212.4</v>
      </c>
      <c r="H579" s="27">
        <v>42.48</v>
      </c>
      <c r="I579" s="27">
        <v>254.88</v>
      </c>
    </row>
    <row r="580" ht="15" customHeight="1" spans="1:9">
      <c r="A580" t="s">
        <v>1548</v>
      </c>
      <c r="B580" t="s">
        <v>786</v>
      </c>
      <c r="C580" t="s">
        <v>404</v>
      </c>
      <c r="D580">
        <v>1</v>
      </c>
      <c r="E580" s="27">
        <v>30.09</v>
      </c>
      <c r="F580" s="28">
        <v>0.1</v>
      </c>
      <c r="G580" s="27">
        <v>27.08</v>
      </c>
      <c r="H580" s="27">
        <v>5.42</v>
      </c>
      <c r="I580" s="27">
        <v>32.5</v>
      </c>
    </row>
    <row r="581" ht="15" customHeight="1" spans="1:9">
      <c r="A581" t="s">
        <v>1549</v>
      </c>
      <c r="B581" t="s">
        <v>787</v>
      </c>
      <c r="C581" t="s">
        <v>396</v>
      </c>
      <c r="D581">
        <v>2</v>
      </c>
      <c r="E581" s="27">
        <v>225.64</v>
      </c>
      <c r="F581" s="28">
        <v>0.05</v>
      </c>
      <c r="G581" s="27">
        <v>428.72</v>
      </c>
      <c r="H581" s="27">
        <v>85.74</v>
      </c>
      <c r="I581" s="27">
        <v>514.46</v>
      </c>
    </row>
    <row r="582" ht="15" customHeight="1" spans="1:9">
      <c r="A582" t="s">
        <v>1550</v>
      </c>
      <c r="B582" t="s">
        <v>788</v>
      </c>
      <c r="C582" t="s">
        <v>435</v>
      </c>
      <c r="D582">
        <v>4</v>
      </c>
      <c r="E582" s="27">
        <v>262.34</v>
      </c>
      <c r="F582" s="28">
        <v>0</v>
      </c>
      <c r="G582" s="27">
        <v>1049.36</v>
      </c>
      <c r="H582" s="27">
        <v>209.87</v>
      </c>
      <c r="I582" s="27">
        <v>1259.23</v>
      </c>
    </row>
    <row r="583" ht="15" customHeight="1" spans="1:9">
      <c r="A583" t="s">
        <v>1551</v>
      </c>
      <c r="B583" t="s">
        <v>788</v>
      </c>
      <c r="C583" t="s">
        <v>402</v>
      </c>
      <c r="D583">
        <v>3</v>
      </c>
      <c r="E583" s="27">
        <v>26.57</v>
      </c>
      <c r="F583" s="28">
        <v>0.1</v>
      </c>
      <c r="G583" s="27">
        <v>71.74</v>
      </c>
      <c r="H583" s="27">
        <v>14.35</v>
      </c>
      <c r="I583" s="27">
        <v>86.09</v>
      </c>
    </row>
    <row r="584" ht="15" customHeight="1" spans="1:9">
      <c r="A584" t="s">
        <v>1552</v>
      </c>
      <c r="B584" t="s">
        <v>789</v>
      </c>
      <c r="C584" t="s">
        <v>417</v>
      </c>
      <c r="D584">
        <v>5</v>
      </c>
      <c r="E584" s="27">
        <v>59.79</v>
      </c>
      <c r="F584" s="28">
        <v>0.1</v>
      </c>
      <c r="G584" s="27">
        <v>269.06</v>
      </c>
      <c r="H584" s="27">
        <v>53.81</v>
      </c>
      <c r="I584" s="27">
        <v>322.87</v>
      </c>
    </row>
    <row r="585" ht="15" customHeight="1" spans="1:9">
      <c r="A585" t="s">
        <v>1553</v>
      </c>
      <c r="B585" t="s">
        <v>789</v>
      </c>
      <c r="C585" t="s">
        <v>450</v>
      </c>
      <c r="D585">
        <v>1</v>
      </c>
      <c r="E585" s="27">
        <v>538.29</v>
      </c>
      <c r="F585" s="28">
        <v>0.05</v>
      </c>
      <c r="G585" s="27">
        <v>511.38</v>
      </c>
      <c r="H585" s="27">
        <v>102.28</v>
      </c>
      <c r="I585" s="27">
        <v>613.66</v>
      </c>
    </row>
    <row r="586" ht="15" customHeight="1" spans="1:9">
      <c r="A586" t="s">
        <v>1554</v>
      </c>
      <c r="B586" t="s">
        <v>789</v>
      </c>
      <c r="C586" t="s">
        <v>423</v>
      </c>
      <c r="D586">
        <v>1</v>
      </c>
      <c r="E586" s="27">
        <v>46.02</v>
      </c>
      <c r="F586" s="28">
        <v>0</v>
      </c>
      <c r="G586" s="27">
        <v>46.02</v>
      </c>
      <c r="H586" s="27">
        <v>9.2</v>
      </c>
      <c r="I586" s="27">
        <v>55.22</v>
      </c>
    </row>
    <row r="587" ht="15" customHeight="1" spans="1:9">
      <c r="A587" t="s">
        <v>1555</v>
      </c>
      <c r="B587" t="s">
        <v>790</v>
      </c>
      <c r="C587" t="s">
        <v>454</v>
      </c>
      <c r="D587">
        <v>2</v>
      </c>
      <c r="E587" s="27">
        <v>375.86</v>
      </c>
      <c r="F587" s="28">
        <v>0.1</v>
      </c>
      <c r="G587" s="27">
        <v>676.55</v>
      </c>
      <c r="H587" s="27">
        <v>135.31</v>
      </c>
      <c r="I587" s="27">
        <v>811.86</v>
      </c>
    </row>
    <row r="588" ht="15" customHeight="1" spans="1:9">
      <c r="A588" t="s">
        <v>1556</v>
      </c>
      <c r="B588" t="s">
        <v>790</v>
      </c>
      <c r="C588" t="s">
        <v>440</v>
      </c>
      <c r="D588">
        <v>3</v>
      </c>
      <c r="E588" s="27">
        <v>391.34</v>
      </c>
      <c r="F588" s="28">
        <v>0</v>
      </c>
      <c r="G588" s="27">
        <v>1174.02</v>
      </c>
      <c r="H588" s="27">
        <v>234.8</v>
      </c>
      <c r="I588" s="27">
        <v>1408.82</v>
      </c>
    </row>
    <row r="589" ht="15" customHeight="1" spans="1:9">
      <c r="A589" t="s">
        <v>1557</v>
      </c>
      <c r="B589" t="s">
        <v>791</v>
      </c>
      <c r="C589" t="s">
        <v>372</v>
      </c>
      <c r="D589">
        <v>2</v>
      </c>
      <c r="E589" s="27">
        <v>216.77</v>
      </c>
      <c r="F589" s="28">
        <v>0.05</v>
      </c>
      <c r="G589" s="27">
        <v>411.86</v>
      </c>
      <c r="H589" s="27">
        <v>82.37</v>
      </c>
      <c r="I589" s="27">
        <v>494.23</v>
      </c>
    </row>
    <row r="590" ht="15" customHeight="1" spans="1:9">
      <c r="A590" t="s">
        <v>1558</v>
      </c>
      <c r="B590" t="s">
        <v>791</v>
      </c>
      <c r="C590" t="s">
        <v>402</v>
      </c>
      <c r="D590">
        <v>5</v>
      </c>
      <c r="E590" s="27">
        <v>26.57</v>
      </c>
      <c r="F590" s="28">
        <v>0.05</v>
      </c>
      <c r="G590" s="27">
        <v>126.21</v>
      </c>
      <c r="H590" s="27">
        <v>25.24</v>
      </c>
      <c r="I590" s="27">
        <v>151.45</v>
      </c>
    </row>
    <row r="591" ht="15" customHeight="1" spans="1:9">
      <c r="A591" t="s">
        <v>1559</v>
      </c>
      <c r="B591" t="s">
        <v>792</v>
      </c>
      <c r="C591" t="s">
        <v>380</v>
      </c>
      <c r="D591">
        <v>1</v>
      </c>
      <c r="E591" s="27">
        <v>80.3</v>
      </c>
      <c r="F591" s="28">
        <v>0.1</v>
      </c>
      <c r="G591" s="27">
        <v>72.27</v>
      </c>
      <c r="H591" s="27">
        <v>14.45</v>
      </c>
      <c r="I591" s="27">
        <v>86.72</v>
      </c>
    </row>
    <row r="592" ht="15" customHeight="1" spans="1:9">
      <c r="A592" t="s">
        <v>1560</v>
      </c>
      <c r="B592" t="s">
        <v>792</v>
      </c>
      <c r="C592" t="s">
        <v>427</v>
      </c>
      <c r="D592">
        <v>1</v>
      </c>
      <c r="E592" s="27">
        <v>25.25</v>
      </c>
      <c r="F592" s="28">
        <v>0</v>
      </c>
      <c r="G592" s="27">
        <v>25.25</v>
      </c>
      <c r="H592" s="27">
        <v>5.05</v>
      </c>
      <c r="I592" s="27">
        <v>30.3</v>
      </c>
    </row>
    <row r="593" ht="15" customHeight="1" spans="1:9">
      <c r="A593" t="s">
        <v>1561</v>
      </c>
      <c r="B593" t="s">
        <v>792</v>
      </c>
      <c r="C593" t="s">
        <v>467</v>
      </c>
      <c r="D593">
        <v>3</v>
      </c>
      <c r="E593" s="27">
        <v>49.53</v>
      </c>
      <c r="F593" s="28">
        <v>0</v>
      </c>
      <c r="G593" s="27">
        <v>148.59</v>
      </c>
      <c r="H593" s="27">
        <v>29.72</v>
      </c>
      <c r="I593" s="27">
        <v>178.31</v>
      </c>
    </row>
    <row r="594" ht="15" customHeight="1" spans="1:9">
      <c r="A594" t="s">
        <v>1562</v>
      </c>
      <c r="B594" t="s">
        <v>793</v>
      </c>
      <c r="C594" t="s">
        <v>383</v>
      </c>
      <c r="D594">
        <v>1</v>
      </c>
      <c r="E594" s="27">
        <v>39.08</v>
      </c>
      <c r="F594" s="28">
        <v>0.15</v>
      </c>
      <c r="G594" s="27">
        <v>33.22</v>
      </c>
      <c r="H594" s="27">
        <v>6.64</v>
      </c>
      <c r="I594" s="27">
        <v>39.86</v>
      </c>
    </row>
    <row r="595" ht="15" customHeight="1" spans="1:9">
      <c r="A595" t="s">
        <v>1563</v>
      </c>
      <c r="B595" t="s">
        <v>793</v>
      </c>
      <c r="C595" t="s">
        <v>450</v>
      </c>
      <c r="D595">
        <v>1</v>
      </c>
      <c r="E595" s="27">
        <v>538.29</v>
      </c>
      <c r="F595" s="28">
        <v>0.1</v>
      </c>
      <c r="G595" s="27">
        <v>484.46</v>
      </c>
      <c r="H595" s="27">
        <v>96.89</v>
      </c>
      <c r="I595" s="27">
        <v>581.35</v>
      </c>
    </row>
    <row r="596" ht="15" customHeight="1" spans="1:9">
      <c r="A596" t="s">
        <v>1564</v>
      </c>
      <c r="B596" t="s">
        <v>794</v>
      </c>
      <c r="C596" t="s">
        <v>446</v>
      </c>
      <c r="D596">
        <v>2</v>
      </c>
      <c r="E596" s="27">
        <v>454.43</v>
      </c>
      <c r="F596" s="28">
        <v>0</v>
      </c>
      <c r="G596" s="27">
        <v>908.86</v>
      </c>
      <c r="H596" s="27">
        <v>181.77</v>
      </c>
      <c r="I596" s="27">
        <v>1090.63</v>
      </c>
    </row>
    <row r="597" ht="15" customHeight="1" spans="1:9">
      <c r="A597" t="s">
        <v>1565</v>
      </c>
      <c r="B597" t="s">
        <v>794</v>
      </c>
      <c r="C597" t="s">
        <v>446</v>
      </c>
      <c r="D597">
        <v>2</v>
      </c>
      <c r="E597" s="27">
        <v>454.43</v>
      </c>
      <c r="F597" s="28">
        <v>0</v>
      </c>
      <c r="G597" s="27">
        <v>908.86</v>
      </c>
      <c r="H597" s="27">
        <v>181.77</v>
      </c>
      <c r="I597" s="27">
        <v>1090.63</v>
      </c>
    </row>
    <row r="598" ht="15" customHeight="1" spans="1:9">
      <c r="A598" t="s">
        <v>1566</v>
      </c>
      <c r="B598" t="s">
        <v>795</v>
      </c>
      <c r="C598" t="s">
        <v>465</v>
      </c>
      <c r="D598">
        <v>5</v>
      </c>
      <c r="E598" s="27">
        <v>44.16</v>
      </c>
      <c r="F598" s="28">
        <v>0</v>
      </c>
      <c r="G598" s="27">
        <v>220.8</v>
      </c>
      <c r="H598" s="27">
        <v>44.16</v>
      </c>
      <c r="I598" s="27">
        <v>264.96</v>
      </c>
    </row>
    <row r="599" ht="15" customHeight="1" spans="1:9">
      <c r="A599" t="s">
        <v>1567</v>
      </c>
      <c r="B599" t="s">
        <v>795</v>
      </c>
      <c r="C599" t="s">
        <v>400</v>
      </c>
      <c r="D599">
        <v>2</v>
      </c>
      <c r="E599" s="27">
        <v>328.03</v>
      </c>
      <c r="F599" s="28">
        <v>0</v>
      </c>
      <c r="G599" s="27">
        <v>656.06</v>
      </c>
      <c r="H599" s="27">
        <v>131.21</v>
      </c>
      <c r="I599" s="27">
        <v>787.27</v>
      </c>
    </row>
    <row r="600" ht="15" customHeight="1" spans="1:9">
      <c r="A600" t="s">
        <v>1568</v>
      </c>
      <c r="B600" t="s">
        <v>796</v>
      </c>
      <c r="C600" t="s">
        <v>435</v>
      </c>
      <c r="D600">
        <v>5</v>
      </c>
      <c r="E600" s="27">
        <v>262.34</v>
      </c>
      <c r="F600" s="28">
        <v>0.05</v>
      </c>
      <c r="G600" s="27">
        <v>1246.11</v>
      </c>
      <c r="H600" s="27">
        <v>249.22</v>
      </c>
      <c r="I600" s="27">
        <v>1495.33</v>
      </c>
    </row>
    <row r="601" ht="15" customHeight="1" spans="1:9">
      <c r="A601" t="s">
        <v>1569</v>
      </c>
      <c r="B601" t="s">
        <v>796</v>
      </c>
      <c r="C601" t="s">
        <v>380</v>
      </c>
      <c r="D601">
        <v>1</v>
      </c>
      <c r="E601" s="27">
        <v>80.3</v>
      </c>
      <c r="F601" s="28">
        <v>0</v>
      </c>
      <c r="G601" s="27">
        <v>80.3</v>
      </c>
      <c r="H601" s="27">
        <v>16.06</v>
      </c>
      <c r="I601" s="27">
        <v>96.36</v>
      </c>
    </row>
    <row r="602" ht="15" customHeight="1" spans="1:9">
      <c r="A602" t="s">
        <v>1570</v>
      </c>
      <c r="B602" t="s">
        <v>796</v>
      </c>
      <c r="C602" t="s">
        <v>421</v>
      </c>
      <c r="D602">
        <v>1</v>
      </c>
      <c r="E602" s="27">
        <v>78.78</v>
      </c>
      <c r="F602" s="28">
        <v>0</v>
      </c>
      <c r="G602" s="27">
        <v>78.78</v>
      </c>
      <c r="H602" s="27">
        <v>15.76</v>
      </c>
      <c r="I602" s="27">
        <v>94.54</v>
      </c>
    </row>
    <row r="603" ht="15" customHeight="1" spans="1:9">
      <c r="A603" t="s">
        <v>1571</v>
      </c>
      <c r="B603" t="s">
        <v>797</v>
      </c>
      <c r="C603" t="s">
        <v>431</v>
      </c>
      <c r="D603">
        <v>1</v>
      </c>
      <c r="E603" s="27">
        <v>47.74</v>
      </c>
      <c r="F603" s="28">
        <v>0.15</v>
      </c>
      <c r="G603" s="27">
        <v>40.58</v>
      </c>
      <c r="H603" s="27">
        <v>8.12</v>
      </c>
      <c r="I603" s="27">
        <v>48.7</v>
      </c>
    </row>
    <row r="604" ht="15" customHeight="1" spans="1:9">
      <c r="A604" t="s">
        <v>1572</v>
      </c>
      <c r="B604" t="s">
        <v>797</v>
      </c>
      <c r="C604" t="s">
        <v>442</v>
      </c>
      <c r="D604">
        <v>1</v>
      </c>
      <c r="E604" s="27">
        <v>374.59</v>
      </c>
      <c r="F604" s="28">
        <v>0</v>
      </c>
      <c r="G604" s="27">
        <v>374.59</v>
      </c>
      <c r="H604" s="27">
        <v>74.92</v>
      </c>
      <c r="I604" s="27">
        <v>449.51</v>
      </c>
    </row>
    <row r="605" ht="15" customHeight="1" spans="1:9">
      <c r="A605" t="s">
        <v>1573</v>
      </c>
      <c r="B605" t="s">
        <v>798</v>
      </c>
      <c r="C605" t="s">
        <v>366</v>
      </c>
      <c r="D605">
        <v>8</v>
      </c>
      <c r="E605" s="27">
        <v>1103.64</v>
      </c>
      <c r="F605" s="28">
        <v>0</v>
      </c>
      <c r="G605" s="27">
        <v>8829.12</v>
      </c>
      <c r="H605" s="27">
        <v>1765.82</v>
      </c>
      <c r="I605" s="27">
        <v>10594.94</v>
      </c>
    </row>
    <row r="606" ht="15" customHeight="1" spans="1:9">
      <c r="A606" t="s">
        <v>1574</v>
      </c>
      <c r="B606" t="s">
        <v>799</v>
      </c>
      <c r="C606" t="s">
        <v>471</v>
      </c>
      <c r="D606">
        <v>3</v>
      </c>
      <c r="E606" s="27">
        <v>35.83</v>
      </c>
      <c r="F606" s="28">
        <v>0</v>
      </c>
      <c r="G606" s="27">
        <v>107.49</v>
      </c>
      <c r="H606" s="27">
        <v>21.5</v>
      </c>
      <c r="I606" s="27">
        <v>128.99</v>
      </c>
    </row>
    <row r="607" ht="15" customHeight="1" spans="1:9">
      <c r="A607" t="s">
        <v>1575</v>
      </c>
      <c r="B607" t="s">
        <v>799</v>
      </c>
      <c r="C607" t="s">
        <v>446</v>
      </c>
      <c r="D607">
        <v>1</v>
      </c>
      <c r="E607" s="27">
        <v>454.43</v>
      </c>
      <c r="F607" s="28">
        <v>0.1</v>
      </c>
      <c r="G607" s="27">
        <v>408.99</v>
      </c>
      <c r="H607" s="27">
        <v>81.8</v>
      </c>
      <c r="I607" s="27">
        <v>490.79</v>
      </c>
    </row>
    <row r="608" ht="15" customHeight="1" spans="1:9">
      <c r="A608" t="s">
        <v>1576</v>
      </c>
      <c r="B608" t="s">
        <v>800</v>
      </c>
      <c r="C608" t="s">
        <v>448</v>
      </c>
      <c r="D608">
        <v>1</v>
      </c>
      <c r="E608" s="27">
        <v>543.43</v>
      </c>
      <c r="F608" s="28">
        <v>0</v>
      </c>
      <c r="G608" s="27">
        <v>543.43</v>
      </c>
      <c r="H608" s="27">
        <v>108.69</v>
      </c>
      <c r="I608" s="27">
        <v>652.12</v>
      </c>
    </row>
    <row r="609" ht="15" customHeight="1" spans="1:9">
      <c r="A609" t="s">
        <v>1577</v>
      </c>
      <c r="B609" t="s">
        <v>800</v>
      </c>
      <c r="C609" t="s">
        <v>427</v>
      </c>
      <c r="D609">
        <v>2</v>
      </c>
      <c r="E609" s="27">
        <v>25.25</v>
      </c>
      <c r="F609" s="28">
        <v>0.1</v>
      </c>
      <c r="G609" s="27">
        <v>45.45</v>
      </c>
      <c r="H609" s="27">
        <v>9.09</v>
      </c>
      <c r="I609" s="27">
        <v>54.54</v>
      </c>
    </row>
    <row r="610" ht="15" customHeight="1" spans="1:9">
      <c r="A610" t="s">
        <v>1578</v>
      </c>
      <c r="B610" t="s">
        <v>800</v>
      </c>
      <c r="C610" t="s">
        <v>377</v>
      </c>
      <c r="D610">
        <v>2</v>
      </c>
      <c r="E610" s="27">
        <v>84.94</v>
      </c>
      <c r="F610" s="28">
        <v>0</v>
      </c>
      <c r="G610" s="27">
        <v>169.88</v>
      </c>
      <c r="H610" s="27">
        <v>33.98</v>
      </c>
      <c r="I610" s="27">
        <v>203.86</v>
      </c>
    </row>
    <row r="611" ht="15" customHeight="1" spans="1:9">
      <c r="A611" t="s">
        <v>1579</v>
      </c>
      <c r="B611" t="s">
        <v>800</v>
      </c>
      <c r="C611" t="s">
        <v>387</v>
      </c>
      <c r="D611">
        <v>3</v>
      </c>
      <c r="E611" s="27">
        <v>37.91</v>
      </c>
      <c r="F611" s="28">
        <v>0</v>
      </c>
      <c r="G611" s="27">
        <v>113.73</v>
      </c>
      <c r="H611" s="27">
        <v>22.75</v>
      </c>
      <c r="I611" s="27">
        <v>136.48</v>
      </c>
    </row>
    <row r="612" ht="15" customHeight="1" spans="1:9">
      <c r="A612" t="s">
        <v>1580</v>
      </c>
      <c r="B612" t="s">
        <v>801</v>
      </c>
      <c r="C612" t="s">
        <v>473</v>
      </c>
      <c r="D612">
        <v>1</v>
      </c>
      <c r="E612" s="27">
        <v>40.73</v>
      </c>
      <c r="F612" s="28">
        <v>0.05</v>
      </c>
      <c r="G612" s="27">
        <v>38.69</v>
      </c>
      <c r="H612" s="27">
        <v>7.74</v>
      </c>
      <c r="I612" s="27">
        <v>46.43</v>
      </c>
    </row>
    <row r="613" ht="15" customHeight="1" spans="1:9">
      <c r="A613" t="s">
        <v>1581</v>
      </c>
      <c r="B613" t="s">
        <v>801</v>
      </c>
      <c r="C613" t="s">
        <v>463</v>
      </c>
      <c r="D613">
        <v>2</v>
      </c>
      <c r="E613" s="27">
        <v>73.02</v>
      </c>
      <c r="F613" s="28">
        <v>0.1</v>
      </c>
      <c r="G613" s="27">
        <v>131.44</v>
      </c>
      <c r="H613" s="27">
        <v>26.29</v>
      </c>
      <c r="I613" s="27">
        <v>157.73</v>
      </c>
    </row>
    <row r="614" ht="15" customHeight="1" spans="1:9">
      <c r="A614" t="s">
        <v>1582</v>
      </c>
      <c r="B614" t="s">
        <v>801</v>
      </c>
      <c r="C614" t="s">
        <v>370</v>
      </c>
      <c r="D614">
        <v>2</v>
      </c>
      <c r="E614" s="27">
        <v>970.58</v>
      </c>
      <c r="F614" s="28">
        <v>0</v>
      </c>
      <c r="G614" s="27">
        <v>1941.16</v>
      </c>
      <c r="H614" s="27">
        <v>388.23</v>
      </c>
      <c r="I614" s="27">
        <v>2329.39</v>
      </c>
    </row>
    <row r="615" ht="15" customHeight="1" spans="1:9">
      <c r="A615" t="s">
        <v>1583</v>
      </c>
      <c r="B615" t="s">
        <v>802</v>
      </c>
      <c r="C615" t="s">
        <v>366</v>
      </c>
      <c r="D615">
        <v>3</v>
      </c>
      <c r="E615" s="27">
        <v>1103.64</v>
      </c>
      <c r="F615" s="28">
        <v>0</v>
      </c>
      <c r="G615" s="27">
        <v>3310.92</v>
      </c>
      <c r="H615" s="27">
        <v>662.18</v>
      </c>
      <c r="I615" s="27">
        <v>3973.1</v>
      </c>
    </row>
    <row r="616" ht="15" customHeight="1" spans="1:9">
      <c r="A616" t="s">
        <v>1584</v>
      </c>
      <c r="B616" t="s">
        <v>802</v>
      </c>
      <c r="C616" t="s">
        <v>404</v>
      </c>
      <c r="D616">
        <v>1</v>
      </c>
      <c r="E616" s="27">
        <v>30.09</v>
      </c>
      <c r="F616" s="28">
        <v>0.05</v>
      </c>
      <c r="G616" s="27">
        <v>28.59</v>
      </c>
      <c r="H616" s="27">
        <v>5.72</v>
      </c>
      <c r="I616" s="27">
        <v>34.31</v>
      </c>
    </row>
    <row r="617" ht="15" customHeight="1" spans="1:9">
      <c r="A617" t="s">
        <v>1585</v>
      </c>
      <c r="B617" t="s">
        <v>803</v>
      </c>
      <c r="C617" t="s">
        <v>400</v>
      </c>
      <c r="D617">
        <v>4</v>
      </c>
      <c r="E617" s="27">
        <v>328.03</v>
      </c>
      <c r="F617" s="28">
        <v>0</v>
      </c>
      <c r="G617" s="27">
        <v>1312.12</v>
      </c>
      <c r="H617" s="27">
        <v>262.42</v>
      </c>
      <c r="I617" s="27">
        <v>1574.54</v>
      </c>
    </row>
    <row r="618" ht="15" customHeight="1" spans="1:9">
      <c r="A618" t="s">
        <v>1586</v>
      </c>
      <c r="B618" t="s">
        <v>803</v>
      </c>
      <c r="C618" t="s">
        <v>396</v>
      </c>
      <c r="D618">
        <v>5</v>
      </c>
      <c r="E618" s="27">
        <v>225.64</v>
      </c>
      <c r="F618" s="28">
        <v>0.15</v>
      </c>
      <c r="G618" s="27">
        <v>958.97</v>
      </c>
      <c r="H618" s="27">
        <v>191.79</v>
      </c>
      <c r="I618" s="27">
        <v>1150.76</v>
      </c>
    </row>
    <row r="619" ht="15" customHeight="1" spans="1:9">
      <c r="A619" t="s">
        <v>1587</v>
      </c>
      <c r="B619" t="s">
        <v>804</v>
      </c>
      <c r="C619" t="s">
        <v>404</v>
      </c>
      <c r="D619">
        <v>3</v>
      </c>
      <c r="E619" s="27">
        <v>30.09</v>
      </c>
      <c r="F619" s="28">
        <v>0</v>
      </c>
      <c r="G619" s="27">
        <v>90.27</v>
      </c>
      <c r="H619" s="27">
        <v>18.05</v>
      </c>
      <c r="I619" s="27">
        <v>108.32</v>
      </c>
    </row>
    <row r="620" ht="15" customHeight="1" spans="1:9">
      <c r="A620" t="s">
        <v>1588</v>
      </c>
      <c r="B620" t="s">
        <v>805</v>
      </c>
      <c r="C620" t="s">
        <v>444</v>
      </c>
      <c r="D620">
        <v>5</v>
      </c>
      <c r="E620" s="27">
        <v>442.3</v>
      </c>
      <c r="F620" s="28">
        <v>0.05</v>
      </c>
      <c r="G620" s="27">
        <v>2100.92</v>
      </c>
      <c r="H620" s="27">
        <v>420.18</v>
      </c>
      <c r="I620" s="27">
        <v>2521.1</v>
      </c>
    </row>
    <row r="621" ht="15" customHeight="1" spans="1:9">
      <c r="A621" t="s">
        <v>1589</v>
      </c>
      <c r="B621" t="s">
        <v>805</v>
      </c>
      <c r="C621" t="s">
        <v>421</v>
      </c>
      <c r="D621">
        <v>2</v>
      </c>
      <c r="E621" s="27">
        <v>78.78</v>
      </c>
      <c r="F621" s="28">
        <v>0.05</v>
      </c>
      <c r="G621" s="27">
        <v>149.68</v>
      </c>
      <c r="H621" s="27">
        <v>29.94</v>
      </c>
      <c r="I621" s="27">
        <v>179.62</v>
      </c>
    </row>
    <row r="622" ht="15" customHeight="1" spans="1:9">
      <c r="A622" t="s">
        <v>1590</v>
      </c>
      <c r="B622" t="s">
        <v>805</v>
      </c>
      <c r="C622" t="s">
        <v>448</v>
      </c>
      <c r="D622">
        <v>4</v>
      </c>
      <c r="E622" s="27">
        <v>543.43</v>
      </c>
      <c r="F622" s="28">
        <v>0.05</v>
      </c>
      <c r="G622" s="27">
        <v>2065.03</v>
      </c>
      <c r="H622" s="27">
        <v>413.01</v>
      </c>
      <c r="I622" s="27">
        <v>2478.04</v>
      </c>
    </row>
    <row r="623" ht="15" customHeight="1" spans="1:9">
      <c r="A623" t="s">
        <v>1591</v>
      </c>
      <c r="B623" t="s">
        <v>806</v>
      </c>
      <c r="C623" t="s">
        <v>429</v>
      </c>
      <c r="D623">
        <v>2</v>
      </c>
      <c r="E623" s="27">
        <v>32.75</v>
      </c>
      <c r="F623" s="28">
        <v>0.1</v>
      </c>
      <c r="G623" s="27">
        <v>58.95</v>
      </c>
      <c r="H623" s="27">
        <v>11.79</v>
      </c>
      <c r="I623" s="27">
        <v>70.74</v>
      </c>
    </row>
    <row r="624" ht="15" customHeight="1" spans="1:9">
      <c r="A624" t="s">
        <v>1592</v>
      </c>
      <c r="B624" t="s">
        <v>806</v>
      </c>
      <c r="C624" t="s">
        <v>372</v>
      </c>
      <c r="D624">
        <v>2</v>
      </c>
      <c r="E624" s="27">
        <v>216.77</v>
      </c>
      <c r="F624" s="28">
        <v>0.05</v>
      </c>
      <c r="G624" s="27">
        <v>411.86</v>
      </c>
      <c r="H624" s="27">
        <v>82.37</v>
      </c>
      <c r="I624" s="27">
        <v>494.23</v>
      </c>
    </row>
    <row r="625" ht="15" customHeight="1" spans="1:9">
      <c r="A625" t="s">
        <v>1593</v>
      </c>
      <c r="B625" t="s">
        <v>807</v>
      </c>
      <c r="C625" t="s">
        <v>366</v>
      </c>
      <c r="D625">
        <v>2</v>
      </c>
      <c r="E625" s="27">
        <v>1103.64</v>
      </c>
      <c r="F625" s="28">
        <v>0.05</v>
      </c>
      <c r="G625" s="27">
        <v>2096.92</v>
      </c>
      <c r="H625" s="27">
        <v>419.38</v>
      </c>
      <c r="I625" s="27">
        <v>2516.3</v>
      </c>
    </row>
    <row r="626" ht="15" customHeight="1" spans="1:9">
      <c r="A626" t="s">
        <v>1594</v>
      </c>
      <c r="B626" t="s">
        <v>807</v>
      </c>
      <c r="C626" t="s">
        <v>450</v>
      </c>
      <c r="D626">
        <v>1</v>
      </c>
      <c r="E626" s="27">
        <v>538.29</v>
      </c>
      <c r="F626" s="28">
        <v>0</v>
      </c>
      <c r="G626" s="27">
        <v>538.29</v>
      </c>
      <c r="H626" s="27">
        <v>107.66</v>
      </c>
      <c r="I626" s="27">
        <v>645.95</v>
      </c>
    </row>
    <row r="627" ht="15" customHeight="1" spans="1:9">
      <c r="A627" t="s">
        <v>1595</v>
      </c>
      <c r="B627" t="s">
        <v>807</v>
      </c>
      <c r="C627" t="s">
        <v>454</v>
      </c>
      <c r="D627">
        <v>4</v>
      </c>
      <c r="E627" s="27">
        <v>375.86</v>
      </c>
      <c r="F627" s="28">
        <v>0</v>
      </c>
      <c r="G627" s="27">
        <v>1503.44</v>
      </c>
      <c r="H627" s="27">
        <v>300.69</v>
      </c>
      <c r="I627" s="27">
        <v>1804.13</v>
      </c>
    </row>
    <row r="628" ht="15" customHeight="1" spans="1:9">
      <c r="A628" t="s">
        <v>1596</v>
      </c>
      <c r="B628" t="s">
        <v>808</v>
      </c>
      <c r="C628" t="s">
        <v>429</v>
      </c>
      <c r="D628">
        <v>1</v>
      </c>
      <c r="E628" s="27">
        <v>32.75</v>
      </c>
      <c r="F628" s="28">
        <v>0.15</v>
      </c>
      <c r="G628" s="27">
        <v>27.84</v>
      </c>
      <c r="H628" s="27">
        <v>5.57</v>
      </c>
      <c r="I628" s="27">
        <v>33.41</v>
      </c>
    </row>
    <row r="629" ht="15" customHeight="1" spans="1:9">
      <c r="A629" t="s">
        <v>1597</v>
      </c>
      <c r="B629" t="s">
        <v>809</v>
      </c>
      <c r="C629" t="s">
        <v>469</v>
      </c>
      <c r="D629">
        <v>1</v>
      </c>
      <c r="E629" s="27">
        <v>30.71</v>
      </c>
      <c r="F629" s="28">
        <v>0</v>
      </c>
      <c r="G629" s="27">
        <v>30.71</v>
      </c>
      <c r="H629" s="27">
        <v>6.14</v>
      </c>
      <c r="I629" s="27">
        <v>36.85</v>
      </c>
    </row>
    <row r="630" ht="15" customHeight="1" spans="1:9">
      <c r="A630" t="s">
        <v>1598</v>
      </c>
      <c r="B630" t="s">
        <v>809</v>
      </c>
      <c r="C630" t="s">
        <v>446</v>
      </c>
      <c r="D630">
        <v>1</v>
      </c>
      <c r="E630" s="27">
        <v>454.43</v>
      </c>
      <c r="F630" s="28">
        <v>0.05</v>
      </c>
      <c r="G630" s="27">
        <v>431.71</v>
      </c>
      <c r="H630" s="27">
        <v>86.34</v>
      </c>
      <c r="I630" s="27">
        <v>518.05</v>
      </c>
    </row>
    <row r="631" ht="15" customHeight="1" spans="1:9">
      <c r="A631" t="s">
        <v>1599</v>
      </c>
      <c r="B631" t="s">
        <v>809</v>
      </c>
      <c r="C631" t="s">
        <v>398</v>
      </c>
      <c r="D631">
        <v>1</v>
      </c>
      <c r="E631" s="27">
        <v>383.91</v>
      </c>
      <c r="F631" s="28">
        <v>0.15</v>
      </c>
      <c r="G631" s="27">
        <v>326.32</v>
      </c>
      <c r="H631" s="27">
        <v>65.26</v>
      </c>
      <c r="I631" s="27">
        <v>391.58</v>
      </c>
    </row>
    <row r="632" ht="15" customHeight="1" spans="1:9">
      <c r="A632" t="s">
        <v>1600</v>
      </c>
      <c r="B632" t="s">
        <v>810</v>
      </c>
      <c r="C632" t="s">
        <v>412</v>
      </c>
      <c r="D632">
        <v>1</v>
      </c>
      <c r="E632" s="27">
        <v>114.1</v>
      </c>
      <c r="F632" s="28">
        <v>0.1</v>
      </c>
      <c r="G632" s="27">
        <v>102.69</v>
      </c>
      <c r="H632" s="27">
        <v>20.54</v>
      </c>
      <c r="I632" s="27">
        <v>123.23</v>
      </c>
    </row>
    <row r="633" ht="15" customHeight="1" spans="1:9">
      <c r="A633" t="s">
        <v>1601</v>
      </c>
      <c r="B633" t="s">
        <v>810</v>
      </c>
      <c r="C633" t="s">
        <v>374</v>
      </c>
      <c r="D633">
        <v>1</v>
      </c>
      <c r="E633" s="27">
        <v>251.56</v>
      </c>
      <c r="F633" s="28">
        <v>0.15</v>
      </c>
      <c r="G633" s="27">
        <v>213.83</v>
      </c>
      <c r="H633" s="27">
        <v>42.77</v>
      </c>
      <c r="I633" s="27">
        <v>256.6</v>
      </c>
    </row>
    <row r="634" ht="15" customHeight="1" spans="1:9">
      <c r="A634" t="s">
        <v>1602</v>
      </c>
      <c r="B634" t="s">
        <v>810</v>
      </c>
      <c r="C634" t="s">
        <v>393</v>
      </c>
      <c r="D634">
        <v>1</v>
      </c>
      <c r="E634" s="27">
        <v>196.18</v>
      </c>
      <c r="F634" s="28">
        <v>0</v>
      </c>
      <c r="G634" s="27">
        <v>196.18</v>
      </c>
      <c r="H634" s="27">
        <v>39.24</v>
      </c>
      <c r="I634" s="27">
        <v>235.42</v>
      </c>
    </row>
    <row r="635" ht="15" customHeight="1" spans="1:9">
      <c r="A635" t="s">
        <v>1603</v>
      </c>
      <c r="B635" t="s">
        <v>811</v>
      </c>
      <c r="C635" t="s">
        <v>446</v>
      </c>
      <c r="D635">
        <v>5</v>
      </c>
      <c r="E635" s="27">
        <v>454.43</v>
      </c>
      <c r="F635" s="28">
        <v>0</v>
      </c>
      <c r="G635" s="27">
        <v>2272.15</v>
      </c>
      <c r="H635" s="27">
        <v>454.43</v>
      </c>
      <c r="I635" s="27">
        <v>2726.58</v>
      </c>
    </row>
    <row r="636" ht="15" customHeight="1" spans="1:9">
      <c r="A636" t="s">
        <v>1604</v>
      </c>
      <c r="B636" t="s">
        <v>811</v>
      </c>
      <c r="C636" t="s">
        <v>419</v>
      </c>
      <c r="D636">
        <v>1</v>
      </c>
      <c r="E636" s="27">
        <v>100.34</v>
      </c>
      <c r="F636" s="28">
        <v>0</v>
      </c>
      <c r="G636" s="27">
        <v>100.34</v>
      </c>
      <c r="H636" s="27">
        <v>20.07</v>
      </c>
      <c r="I636" s="27">
        <v>120.41</v>
      </c>
    </row>
    <row r="637" ht="15" customHeight="1" spans="1:9">
      <c r="A637" t="s">
        <v>1605</v>
      </c>
      <c r="B637" t="s">
        <v>812</v>
      </c>
      <c r="C637" t="s">
        <v>463</v>
      </c>
      <c r="D637">
        <v>2</v>
      </c>
      <c r="E637" s="27">
        <v>73.02</v>
      </c>
      <c r="F637" s="28">
        <v>0.15</v>
      </c>
      <c r="G637" s="27">
        <v>124.13</v>
      </c>
      <c r="H637" s="27">
        <v>24.83</v>
      </c>
      <c r="I637" s="27">
        <v>148.96</v>
      </c>
    </row>
    <row r="638" ht="15" customHeight="1" spans="1:9">
      <c r="A638" t="s">
        <v>1606</v>
      </c>
      <c r="B638" t="s">
        <v>812</v>
      </c>
      <c r="C638" t="s">
        <v>431</v>
      </c>
      <c r="D638">
        <v>4</v>
      </c>
      <c r="E638" s="27">
        <v>47.74</v>
      </c>
      <c r="F638" s="28">
        <v>0.05</v>
      </c>
      <c r="G638" s="27">
        <v>181.41</v>
      </c>
      <c r="H638" s="27">
        <v>36.28</v>
      </c>
      <c r="I638" s="27">
        <v>217.69</v>
      </c>
    </row>
    <row r="639" ht="15" customHeight="1" spans="1:9">
      <c r="A639" t="s">
        <v>1607</v>
      </c>
      <c r="B639" t="s">
        <v>813</v>
      </c>
      <c r="C639" t="s">
        <v>448</v>
      </c>
      <c r="D639">
        <v>1</v>
      </c>
      <c r="E639" s="27">
        <v>543.43</v>
      </c>
      <c r="F639" s="28">
        <v>0</v>
      </c>
      <c r="G639" s="27">
        <v>543.43</v>
      </c>
      <c r="H639" s="27">
        <v>108.69</v>
      </c>
      <c r="I639" s="27">
        <v>652.12</v>
      </c>
    </row>
    <row r="640" ht="15" customHeight="1" spans="1:9">
      <c r="A640" t="s">
        <v>1608</v>
      </c>
      <c r="B640" t="s">
        <v>813</v>
      </c>
      <c r="C640" t="s">
        <v>380</v>
      </c>
      <c r="D640">
        <v>1</v>
      </c>
      <c r="E640" s="27">
        <v>80.3</v>
      </c>
      <c r="F640" s="28">
        <v>0</v>
      </c>
      <c r="G640" s="27">
        <v>80.3</v>
      </c>
      <c r="H640" s="27">
        <v>16.06</v>
      </c>
      <c r="I640" s="27">
        <v>96.36</v>
      </c>
    </row>
    <row r="641" ht="15" customHeight="1" spans="1:9">
      <c r="A641" t="s">
        <v>1609</v>
      </c>
      <c r="B641" t="s">
        <v>814</v>
      </c>
      <c r="C641" t="s">
        <v>475</v>
      </c>
      <c r="D641">
        <v>4</v>
      </c>
      <c r="E641" s="27">
        <v>42</v>
      </c>
      <c r="F641" s="28">
        <v>0</v>
      </c>
      <c r="G641" s="27">
        <v>168</v>
      </c>
      <c r="H641" s="27">
        <v>33.6</v>
      </c>
      <c r="I641" s="27">
        <v>201.6</v>
      </c>
    </row>
    <row r="642" ht="15" customHeight="1" spans="1:9">
      <c r="A642" t="s">
        <v>1610</v>
      </c>
      <c r="B642" t="s">
        <v>814</v>
      </c>
      <c r="C642" t="s">
        <v>471</v>
      </c>
      <c r="D642">
        <v>2</v>
      </c>
      <c r="E642" s="27">
        <v>35.83</v>
      </c>
      <c r="F642" s="28">
        <v>0.05</v>
      </c>
      <c r="G642" s="27">
        <v>68.08</v>
      </c>
      <c r="H642" s="27">
        <v>13.62</v>
      </c>
      <c r="I642" s="27">
        <v>81.7</v>
      </c>
    </row>
    <row r="643" ht="15" customHeight="1" spans="1:9">
      <c r="A643" t="s">
        <v>1611</v>
      </c>
      <c r="B643" t="s">
        <v>814</v>
      </c>
      <c r="C643" t="s">
        <v>427</v>
      </c>
      <c r="D643">
        <v>1</v>
      </c>
      <c r="E643" s="27">
        <v>25.25</v>
      </c>
      <c r="F643" s="28">
        <v>0</v>
      </c>
      <c r="G643" s="27">
        <v>25.25</v>
      </c>
      <c r="H643" s="27">
        <v>5.05</v>
      </c>
      <c r="I643" s="27">
        <v>30.3</v>
      </c>
    </row>
    <row r="644" ht="15" customHeight="1" spans="1:9">
      <c r="A644" t="s">
        <v>1612</v>
      </c>
      <c r="B644" t="s">
        <v>814</v>
      </c>
      <c r="C644" t="s">
        <v>389</v>
      </c>
      <c r="D644">
        <v>3</v>
      </c>
      <c r="E644" s="27">
        <v>120.37</v>
      </c>
      <c r="F644" s="28">
        <v>0.15</v>
      </c>
      <c r="G644" s="27">
        <v>306.94</v>
      </c>
      <c r="H644" s="27">
        <v>61.39</v>
      </c>
      <c r="I644" s="27">
        <v>368.33</v>
      </c>
    </row>
    <row r="645" ht="15" customHeight="1" spans="1:9">
      <c r="A645" t="s">
        <v>1613</v>
      </c>
      <c r="B645" t="s">
        <v>815</v>
      </c>
      <c r="C645" t="s">
        <v>435</v>
      </c>
      <c r="D645">
        <v>2</v>
      </c>
      <c r="E645" s="27">
        <v>262.34</v>
      </c>
      <c r="F645" s="28">
        <v>0</v>
      </c>
      <c r="G645" s="27">
        <v>524.68</v>
      </c>
      <c r="H645" s="27">
        <v>104.94</v>
      </c>
      <c r="I645" s="27">
        <v>629.62</v>
      </c>
    </row>
    <row r="646" ht="15" customHeight="1" spans="1:9">
      <c r="A646" t="s">
        <v>1614</v>
      </c>
      <c r="B646" t="s">
        <v>816</v>
      </c>
      <c r="C646" t="s">
        <v>423</v>
      </c>
      <c r="D646">
        <v>1</v>
      </c>
      <c r="E646" s="27">
        <v>46.02</v>
      </c>
      <c r="F646" s="28">
        <v>0</v>
      </c>
      <c r="G646" s="27">
        <v>46.02</v>
      </c>
      <c r="H646" s="27">
        <v>9.2</v>
      </c>
      <c r="I646" s="27">
        <v>55.22</v>
      </c>
    </row>
    <row r="647" ht="15" customHeight="1" spans="1:9">
      <c r="A647" t="s">
        <v>1615</v>
      </c>
      <c r="B647" t="s">
        <v>816</v>
      </c>
      <c r="C647" t="s">
        <v>471</v>
      </c>
      <c r="D647">
        <v>1</v>
      </c>
      <c r="E647" s="27">
        <v>35.83</v>
      </c>
      <c r="F647" s="28">
        <v>0.15</v>
      </c>
      <c r="G647" s="27">
        <v>30.46</v>
      </c>
      <c r="H647" s="27">
        <v>6.09</v>
      </c>
      <c r="I647" s="27">
        <v>36.55</v>
      </c>
    </row>
    <row r="648" ht="15" customHeight="1" spans="1:9">
      <c r="A648" t="s">
        <v>1616</v>
      </c>
      <c r="B648" t="s">
        <v>816</v>
      </c>
      <c r="C648" t="s">
        <v>389</v>
      </c>
      <c r="D648">
        <v>1</v>
      </c>
      <c r="E648" s="27">
        <v>120.37</v>
      </c>
      <c r="F648" s="28">
        <v>0</v>
      </c>
      <c r="G648" s="27">
        <v>120.37</v>
      </c>
      <c r="H648" s="27">
        <v>24.07</v>
      </c>
      <c r="I648" s="27">
        <v>144.44</v>
      </c>
    </row>
    <row r="649" ht="15" customHeight="1" spans="1:9">
      <c r="A649" t="s">
        <v>1617</v>
      </c>
      <c r="B649" t="s">
        <v>817</v>
      </c>
      <c r="C649" t="s">
        <v>389</v>
      </c>
      <c r="D649">
        <v>8</v>
      </c>
      <c r="E649" s="27">
        <v>120.37</v>
      </c>
      <c r="F649" s="28">
        <v>0.15</v>
      </c>
      <c r="G649" s="27">
        <v>818.52</v>
      </c>
      <c r="H649" s="27">
        <v>163.7</v>
      </c>
      <c r="I649" s="27">
        <v>982.22</v>
      </c>
    </row>
    <row r="650" ht="15" customHeight="1" spans="1:9">
      <c r="A650" t="s">
        <v>1618</v>
      </c>
      <c r="B650" t="s">
        <v>817</v>
      </c>
      <c r="C650" t="s">
        <v>444</v>
      </c>
      <c r="D650">
        <v>1</v>
      </c>
      <c r="E650" s="27">
        <v>442.3</v>
      </c>
      <c r="F650" s="28">
        <v>0.1</v>
      </c>
      <c r="G650" s="27">
        <v>398.07</v>
      </c>
      <c r="H650" s="27">
        <v>79.61</v>
      </c>
      <c r="I650" s="27">
        <v>477.68</v>
      </c>
    </row>
    <row r="651" ht="15" customHeight="1" spans="1:9">
      <c r="A651" t="s">
        <v>1619</v>
      </c>
      <c r="B651" t="s">
        <v>818</v>
      </c>
      <c r="C651" t="s">
        <v>402</v>
      </c>
      <c r="D651">
        <v>3</v>
      </c>
      <c r="E651" s="27">
        <v>26.57</v>
      </c>
      <c r="F651" s="28">
        <v>0.05</v>
      </c>
      <c r="G651" s="27">
        <v>75.72</v>
      </c>
      <c r="H651" s="27">
        <v>15.14</v>
      </c>
      <c r="I651" s="27">
        <v>90.86</v>
      </c>
    </row>
    <row r="652" ht="15" customHeight="1" spans="1:9">
      <c r="A652" t="s">
        <v>1620</v>
      </c>
      <c r="B652" t="s">
        <v>818</v>
      </c>
      <c r="C652" t="s">
        <v>412</v>
      </c>
      <c r="D652">
        <v>1</v>
      </c>
      <c r="E652" s="27">
        <v>114.1</v>
      </c>
      <c r="F652" s="28">
        <v>0</v>
      </c>
      <c r="G652" s="27">
        <v>114.1</v>
      </c>
      <c r="H652" s="27">
        <v>22.82</v>
      </c>
      <c r="I652" s="27">
        <v>136.92</v>
      </c>
    </row>
    <row r="653" ht="15" customHeight="1" spans="1:9">
      <c r="A653" t="s">
        <v>1621</v>
      </c>
      <c r="B653" t="s">
        <v>819</v>
      </c>
      <c r="C653" t="s">
        <v>444</v>
      </c>
      <c r="D653">
        <v>1</v>
      </c>
      <c r="E653" s="27">
        <v>442.3</v>
      </c>
      <c r="F653" s="28">
        <v>0.05</v>
      </c>
      <c r="G653" s="27">
        <v>420.19</v>
      </c>
      <c r="H653" s="27">
        <v>84.04</v>
      </c>
      <c r="I653" s="27">
        <v>504.23</v>
      </c>
    </row>
    <row r="654" ht="15" customHeight="1" spans="1:9">
      <c r="A654" t="s">
        <v>1622</v>
      </c>
      <c r="B654" t="s">
        <v>820</v>
      </c>
      <c r="C654" t="s">
        <v>398</v>
      </c>
      <c r="D654">
        <v>1</v>
      </c>
      <c r="E654" s="27">
        <v>383.91</v>
      </c>
      <c r="F654" s="28">
        <v>0.1</v>
      </c>
      <c r="G654" s="27">
        <v>345.52</v>
      </c>
      <c r="H654" s="27">
        <v>69.1</v>
      </c>
      <c r="I654" s="27">
        <v>414.62</v>
      </c>
    </row>
    <row r="655" ht="15" customHeight="1" spans="1:9">
      <c r="A655" t="s">
        <v>1623</v>
      </c>
      <c r="B655" t="s">
        <v>820</v>
      </c>
      <c r="C655" t="s">
        <v>429</v>
      </c>
      <c r="D655">
        <v>1</v>
      </c>
      <c r="E655" s="27">
        <v>32.75</v>
      </c>
      <c r="F655" s="28">
        <v>0</v>
      </c>
      <c r="G655" s="27">
        <v>32.75</v>
      </c>
      <c r="H655" s="27">
        <v>6.55</v>
      </c>
      <c r="I655" s="27">
        <v>39.3</v>
      </c>
    </row>
    <row r="656" ht="15" customHeight="1" spans="1:9">
      <c r="A656" t="s">
        <v>1624</v>
      </c>
      <c r="B656" t="s">
        <v>821</v>
      </c>
      <c r="C656" t="s">
        <v>454</v>
      </c>
      <c r="D656">
        <v>3</v>
      </c>
      <c r="E656" s="27">
        <v>375.86</v>
      </c>
      <c r="F656" s="28">
        <v>0.15</v>
      </c>
      <c r="G656" s="27">
        <v>958.44</v>
      </c>
      <c r="H656" s="27">
        <v>191.69</v>
      </c>
      <c r="I656" s="27">
        <v>1150.13</v>
      </c>
    </row>
    <row r="657" ht="15" customHeight="1" spans="1:9">
      <c r="A657" t="s">
        <v>1625</v>
      </c>
      <c r="B657" t="s">
        <v>821</v>
      </c>
      <c r="C657" t="s">
        <v>408</v>
      </c>
      <c r="D657">
        <v>1</v>
      </c>
      <c r="E657" s="27">
        <v>19.65</v>
      </c>
      <c r="F657" s="28">
        <v>0.15</v>
      </c>
      <c r="G657" s="27">
        <v>16.7</v>
      </c>
      <c r="H657" s="27">
        <v>3.34</v>
      </c>
      <c r="I657" s="27">
        <v>20.04</v>
      </c>
    </row>
    <row r="658" ht="15" customHeight="1" spans="1:9">
      <c r="A658" t="s">
        <v>1626</v>
      </c>
      <c r="B658" t="s">
        <v>822</v>
      </c>
      <c r="C658" t="s">
        <v>387</v>
      </c>
      <c r="D658">
        <v>2</v>
      </c>
      <c r="E658" s="27">
        <v>37.91</v>
      </c>
      <c r="F658" s="28">
        <v>0.1</v>
      </c>
      <c r="G658" s="27">
        <v>68.24</v>
      </c>
      <c r="H658" s="27">
        <v>13.65</v>
      </c>
      <c r="I658" s="27">
        <v>81.89</v>
      </c>
    </row>
    <row r="659" ht="15" customHeight="1" spans="1:9">
      <c r="A659" t="s">
        <v>1627</v>
      </c>
      <c r="B659" t="s">
        <v>823</v>
      </c>
      <c r="C659" t="s">
        <v>444</v>
      </c>
      <c r="D659">
        <v>1</v>
      </c>
      <c r="E659" s="27">
        <v>442.3</v>
      </c>
      <c r="F659" s="28">
        <v>0</v>
      </c>
      <c r="G659" s="27">
        <v>442.3</v>
      </c>
      <c r="H659" s="27">
        <v>88.46</v>
      </c>
      <c r="I659" s="27">
        <v>530.76</v>
      </c>
    </row>
    <row r="660" ht="15" customHeight="1" spans="1:9">
      <c r="A660" t="s">
        <v>1628</v>
      </c>
      <c r="B660" t="s">
        <v>824</v>
      </c>
      <c r="C660" t="s">
        <v>438</v>
      </c>
      <c r="D660">
        <v>1</v>
      </c>
      <c r="E660" s="27">
        <v>295.97</v>
      </c>
      <c r="F660" s="28">
        <v>0.05</v>
      </c>
      <c r="G660" s="27">
        <v>281.17</v>
      </c>
      <c r="H660" s="27">
        <v>56.23</v>
      </c>
      <c r="I660" s="27">
        <v>337.4</v>
      </c>
    </row>
    <row r="661" ht="15" customHeight="1" spans="1:9">
      <c r="A661" t="s">
        <v>1629</v>
      </c>
      <c r="B661" t="s">
        <v>825</v>
      </c>
      <c r="C661" t="s">
        <v>473</v>
      </c>
      <c r="D661">
        <v>5</v>
      </c>
      <c r="E661" s="27">
        <v>40.73</v>
      </c>
      <c r="F661" s="28">
        <v>0</v>
      </c>
      <c r="G661" s="27">
        <v>203.65</v>
      </c>
      <c r="H661" s="27">
        <v>40.73</v>
      </c>
      <c r="I661" s="27">
        <v>244.38</v>
      </c>
    </row>
    <row r="662" ht="15" customHeight="1" spans="1:9">
      <c r="A662" t="s">
        <v>1630</v>
      </c>
      <c r="B662" t="s">
        <v>826</v>
      </c>
      <c r="C662" t="s">
        <v>406</v>
      </c>
      <c r="D662">
        <v>3</v>
      </c>
      <c r="E662" s="27">
        <v>18.86</v>
      </c>
      <c r="F662" s="28">
        <v>0</v>
      </c>
      <c r="G662" s="27">
        <v>56.58</v>
      </c>
      <c r="H662" s="27">
        <v>11.32</v>
      </c>
      <c r="I662" s="27">
        <v>67.9</v>
      </c>
    </row>
    <row r="663" ht="15" customHeight="1" spans="1:9">
      <c r="A663" t="s">
        <v>1631</v>
      </c>
      <c r="B663" t="s">
        <v>826</v>
      </c>
      <c r="C663" t="s">
        <v>387</v>
      </c>
      <c r="D663">
        <v>8</v>
      </c>
      <c r="E663" s="27">
        <v>37.91</v>
      </c>
      <c r="F663" s="28">
        <v>0.15</v>
      </c>
      <c r="G663" s="27">
        <v>257.79</v>
      </c>
      <c r="H663" s="27">
        <v>51.56</v>
      </c>
      <c r="I663" s="27">
        <v>309.35</v>
      </c>
    </row>
    <row r="664" ht="15" customHeight="1" spans="1:9">
      <c r="A664" t="s">
        <v>1632</v>
      </c>
      <c r="B664" t="s">
        <v>826</v>
      </c>
      <c r="C664" t="s">
        <v>404</v>
      </c>
      <c r="D664">
        <v>1</v>
      </c>
      <c r="E664" s="27">
        <v>30.09</v>
      </c>
      <c r="F664" s="28">
        <v>0.05</v>
      </c>
      <c r="G664" s="27">
        <v>28.59</v>
      </c>
      <c r="H664" s="27">
        <v>5.72</v>
      </c>
      <c r="I664" s="27">
        <v>34.31</v>
      </c>
    </row>
    <row r="665" ht="15" customHeight="1" spans="1:9">
      <c r="A665" t="s">
        <v>1633</v>
      </c>
      <c r="B665" t="s">
        <v>826</v>
      </c>
      <c r="C665" t="s">
        <v>404</v>
      </c>
      <c r="D665">
        <v>3</v>
      </c>
      <c r="E665" s="27">
        <v>30.09</v>
      </c>
      <c r="F665" s="28">
        <v>0</v>
      </c>
      <c r="G665" s="27">
        <v>90.27</v>
      </c>
      <c r="H665" s="27">
        <v>18.05</v>
      </c>
      <c r="I665" s="27">
        <v>108.32</v>
      </c>
    </row>
    <row r="666" ht="15" customHeight="1" spans="1:9">
      <c r="A666" t="s">
        <v>1634</v>
      </c>
      <c r="B666" t="s">
        <v>827</v>
      </c>
      <c r="C666" t="s">
        <v>469</v>
      </c>
      <c r="D666">
        <v>1</v>
      </c>
      <c r="E666" s="27">
        <v>30.71</v>
      </c>
      <c r="F666" s="28">
        <v>0.1</v>
      </c>
      <c r="G666" s="27">
        <v>27.64</v>
      </c>
      <c r="H666" s="27">
        <v>5.53</v>
      </c>
      <c r="I666" s="27">
        <v>33.17</v>
      </c>
    </row>
    <row r="667" ht="15" customHeight="1" spans="1:9">
      <c r="A667" t="s">
        <v>1635</v>
      </c>
      <c r="B667" t="s">
        <v>828</v>
      </c>
      <c r="C667" t="s">
        <v>461</v>
      </c>
      <c r="D667">
        <v>1</v>
      </c>
      <c r="E667" s="27">
        <v>59.83</v>
      </c>
      <c r="F667" s="28">
        <v>0</v>
      </c>
      <c r="G667" s="27">
        <v>59.83</v>
      </c>
      <c r="H667" s="27">
        <v>11.97</v>
      </c>
      <c r="I667" s="27">
        <v>71.8</v>
      </c>
    </row>
    <row r="668" ht="15" customHeight="1" spans="1:9">
      <c r="A668" t="s">
        <v>1636</v>
      </c>
      <c r="B668" t="s">
        <v>828</v>
      </c>
      <c r="C668" t="s">
        <v>404</v>
      </c>
      <c r="D668">
        <v>2</v>
      </c>
      <c r="E668" s="27">
        <v>30.09</v>
      </c>
      <c r="F668" s="28">
        <v>0</v>
      </c>
      <c r="G668" s="27">
        <v>60.18</v>
      </c>
      <c r="H668" s="27">
        <v>12.04</v>
      </c>
      <c r="I668" s="27">
        <v>72.22</v>
      </c>
    </row>
    <row r="669" ht="15" customHeight="1" spans="1:9">
      <c r="A669" t="s">
        <v>1637</v>
      </c>
      <c r="B669" t="s">
        <v>828</v>
      </c>
      <c r="C669" t="s">
        <v>366</v>
      </c>
      <c r="D669">
        <v>1</v>
      </c>
      <c r="E669" s="27">
        <v>1103.64</v>
      </c>
      <c r="F669" s="28">
        <v>0</v>
      </c>
      <c r="G669" s="27">
        <v>1103.64</v>
      </c>
      <c r="H669" s="27">
        <v>220.73</v>
      </c>
      <c r="I669" s="27">
        <v>1324.37</v>
      </c>
    </row>
    <row r="670" ht="15" customHeight="1" spans="1:9">
      <c r="A670" t="s">
        <v>1638</v>
      </c>
      <c r="B670" t="s">
        <v>828</v>
      </c>
      <c r="C670" t="s">
        <v>450</v>
      </c>
      <c r="D670">
        <v>1</v>
      </c>
      <c r="E670" s="27">
        <v>538.29</v>
      </c>
      <c r="F670" s="28">
        <v>0</v>
      </c>
      <c r="G670" s="27">
        <v>538.29</v>
      </c>
      <c r="H670" s="27">
        <v>107.66</v>
      </c>
      <c r="I670" s="27">
        <v>645.95</v>
      </c>
    </row>
    <row r="671" ht="15" customHeight="1" spans="1:9">
      <c r="A671" t="s">
        <v>1639</v>
      </c>
      <c r="B671" t="s">
        <v>829</v>
      </c>
      <c r="C671" t="s">
        <v>404</v>
      </c>
      <c r="D671">
        <v>1</v>
      </c>
      <c r="E671" s="27">
        <v>30.09</v>
      </c>
      <c r="F671" s="28">
        <v>0</v>
      </c>
      <c r="G671" s="27">
        <v>30.09</v>
      </c>
      <c r="H671" s="27">
        <v>6.02</v>
      </c>
      <c r="I671" s="27">
        <v>36.11</v>
      </c>
    </row>
    <row r="672" ht="15" customHeight="1" spans="1:9">
      <c r="A672" t="s">
        <v>1640</v>
      </c>
      <c r="B672" t="s">
        <v>829</v>
      </c>
      <c r="C672" t="s">
        <v>463</v>
      </c>
      <c r="D672">
        <v>2</v>
      </c>
      <c r="E672" s="27">
        <v>73.02</v>
      </c>
      <c r="F672" s="28">
        <v>0.15</v>
      </c>
      <c r="G672" s="27">
        <v>124.13</v>
      </c>
      <c r="H672" s="27">
        <v>24.83</v>
      </c>
      <c r="I672" s="27">
        <v>148.96</v>
      </c>
    </row>
    <row r="673" ht="15" customHeight="1" spans="1:9">
      <c r="A673" t="s">
        <v>1641</v>
      </c>
      <c r="B673" t="s">
        <v>829</v>
      </c>
      <c r="C673" t="s">
        <v>374</v>
      </c>
      <c r="D673">
        <v>1</v>
      </c>
      <c r="E673" s="27">
        <v>251.56</v>
      </c>
      <c r="F673" s="28">
        <v>0.15</v>
      </c>
      <c r="G673" s="27">
        <v>213.83</v>
      </c>
      <c r="H673" s="27">
        <v>42.77</v>
      </c>
      <c r="I673" s="27">
        <v>256.6</v>
      </c>
    </row>
    <row r="674" ht="15" customHeight="1" spans="1:9">
      <c r="A674" t="s">
        <v>1642</v>
      </c>
      <c r="B674" t="s">
        <v>830</v>
      </c>
      <c r="C674" t="s">
        <v>459</v>
      </c>
      <c r="D674">
        <v>3</v>
      </c>
      <c r="E674" s="27">
        <v>70.8</v>
      </c>
      <c r="F674" s="28">
        <v>0.05</v>
      </c>
      <c r="G674" s="27">
        <v>201.78</v>
      </c>
      <c r="H674" s="27">
        <v>40.36</v>
      </c>
      <c r="I674" s="27">
        <v>242.14</v>
      </c>
    </row>
    <row r="675" ht="15" customHeight="1" spans="1:9">
      <c r="A675" t="s">
        <v>1643</v>
      </c>
      <c r="B675" t="s">
        <v>830</v>
      </c>
      <c r="C675" t="s">
        <v>469</v>
      </c>
      <c r="D675">
        <v>1</v>
      </c>
      <c r="E675" s="27">
        <v>30.71</v>
      </c>
      <c r="F675" s="28">
        <v>0.15</v>
      </c>
      <c r="G675" s="27">
        <v>26.1</v>
      </c>
      <c r="H675" s="27">
        <v>5.22</v>
      </c>
      <c r="I675" s="27">
        <v>31.32</v>
      </c>
    </row>
    <row r="676" ht="15" customHeight="1" spans="1:9">
      <c r="A676" t="s">
        <v>1644</v>
      </c>
      <c r="B676" t="s">
        <v>830</v>
      </c>
      <c r="C676" t="s">
        <v>423</v>
      </c>
      <c r="D676">
        <v>1</v>
      </c>
      <c r="E676" s="27">
        <v>46.02</v>
      </c>
      <c r="F676" s="28">
        <v>0</v>
      </c>
      <c r="G676" s="27">
        <v>46.02</v>
      </c>
      <c r="H676" s="27">
        <v>9.2</v>
      </c>
      <c r="I676" s="27">
        <v>55.22</v>
      </c>
    </row>
    <row r="677" ht="15" customHeight="1" spans="1:9">
      <c r="A677" t="s">
        <v>1645</v>
      </c>
      <c r="B677" t="s">
        <v>830</v>
      </c>
      <c r="C677" t="s">
        <v>406</v>
      </c>
      <c r="D677">
        <v>4</v>
      </c>
      <c r="E677" s="27">
        <v>18.86</v>
      </c>
      <c r="F677" s="28">
        <v>0.05</v>
      </c>
      <c r="G677" s="27">
        <v>71.67</v>
      </c>
      <c r="H677" s="27">
        <v>14.33</v>
      </c>
      <c r="I677" s="27">
        <v>86</v>
      </c>
    </row>
    <row r="678" ht="15" customHeight="1" spans="1:9">
      <c r="A678" t="s">
        <v>1646</v>
      </c>
      <c r="B678" t="s">
        <v>830</v>
      </c>
      <c r="C678" t="s">
        <v>467</v>
      </c>
      <c r="D678">
        <v>1</v>
      </c>
      <c r="E678" s="27">
        <v>49.53</v>
      </c>
      <c r="F678" s="28">
        <v>0</v>
      </c>
      <c r="G678" s="27">
        <v>49.53</v>
      </c>
      <c r="H678" s="27">
        <v>9.91</v>
      </c>
      <c r="I678" s="27">
        <v>59.44</v>
      </c>
    </row>
    <row r="679" ht="15" customHeight="1" spans="1:9">
      <c r="A679" t="s">
        <v>1647</v>
      </c>
      <c r="B679" t="s">
        <v>831</v>
      </c>
      <c r="C679" t="s">
        <v>408</v>
      </c>
      <c r="D679">
        <v>4</v>
      </c>
      <c r="E679" s="27">
        <v>19.65</v>
      </c>
      <c r="F679" s="28">
        <v>0.1</v>
      </c>
      <c r="G679" s="27">
        <v>70.74</v>
      </c>
      <c r="H679" s="27">
        <v>14.15</v>
      </c>
      <c r="I679" s="27">
        <v>84.89</v>
      </c>
    </row>
    <row r="680" ht="15" customHeight="1" spans="1:9">
      <c r="A680" t="s">
        <v>1648</v>
      </c>
      <c r="B680" t="s">
        <v>831</v>
      </c>
      <c r="C680" t="s">
        <v>446</v>
      </c>
      <c r="D680">
        <v>1</v>
      </c>
      <c r="E680" s="27">
        <v>454.43</v>
      </c>
      <c r="F680" s="28">
        <v>0.1</v>
      </c>
      <c r="G680" s="27">
        <v>408.99</v>
      </c>
      <c r="H680" s="27">
        <v>81.8</v>
      </c>
      <c r="I680" s="27">
        <v>490.79</v>
      </c>
    </row>
    <row r="681" ht="15" customHeight="1" spans="1:9">
      <c r="A681" t="s">
        <v>1649</v>
      </c>
      <c r="B681" t="s">
        <v>831</v>
      </c>
      <c r="C681" t="s">
        <v>391</v>
      </c>
      <c r="D681">
        <v>1</v>
      </c>
      <c r="E681" s="27">
        <v>138.13</v>
      </c>
      <c r="F681" s="28">
        <v>0</v>
      </c>
      <c r="G681" s="27">
        <v>138.13</v>
      </c>
      <c r="H681" s="27">
        <v>27.63</v>
      </c>
      <c r="I681" s="27">
        <v>165.76</v>
      </c>
    </row>
    <row r="682" ht="15" customHeight="1" spans="1:9">
      <c r="A682" t="s">
        <v>1650</v>
      </c>
      <c r="B682" t="s">
        <v>832</v>
      </c>
      <c r="C682" t="s">
        <v>454</v>
      </c>
      <c r="D682">
        <v>4</v>
      </c>
      <c r="E682" s="27">
        <v>375.86</v>
      </c>
      <c r="F682" s="28">
        <v>0.1</v>
      </c>
      <c r="G682" s="27">
        <v>1353.1</v>
      </c>
      <c r="H682" s="27">
        <v>270.62</v>
      </c>
      <c r="I682" s="27">
        <v>1623.72</v>
      </c>
    </row>
    <row r="683" ht="15" customHeight="1" spans="1:9">
      <c r="A683" t="s">
        <v>1651</v>
      </c>
      <c r="B683" t="s">
        <v>832</v>
      </c>
      <c r="C683" t="s">
        <v>404</v>
      </c>
      <c r="D683">
        <v>1</v>
      </c>
      <c r="E683" s="27">
        <v>30.09</v>
      </c>
      <c r="F683" s="28">
        <v>0</v>
      </c>
      <c r="G683" s="27">
        <v>30.09</v>
      </c>
      <c r="H683" s="27">
        <v>6.02</v>
      </c>
      <c r="I683" s="27">
        <v>36.11</v>
      </c>
    </row>
    <row r="684" ht="15" customHeight="1" spans="1:9">
      <c r="A684" t="s">
        <v>1652</v>
      </c>
      <c r="B684" t="s">
        <v>832</v>
      </c>
      <c r="C684" t="s">
        <v>461</v>
      </c>
      <c r="D684">
        <v>8</v>
      </c>
      <c r="E684" s="27">
        <v>59.83</v>
      </c>
      <c r="F684" s="28">
        <v>0.05</v>
      </c>
      <c r="G684" s="27">
        <v>454.71</v>
      </c>
      <c r="H684" s="27">
        <v>90.94</v>
      </c>
      <c r="I684" s="27">
        <v>545.65</v>
      </c>
    </row>
    <row r="685" ht="15" customHeight="1" spans="1:9">
      <c r="A685" t="s">
        <v>1653</v>
      </c>
      <c r="B685" t="s">
        <v>832</v>
      </c>
      <c r="C685" t="s">
        <v>398</v>
      </c>
      <c r="D685">
        <v>2</v>
      </c>
      <c r="E685" s="27">
        <v>383.91</v>
      </c>
      <c r="F685" s="28">
        <v>0.05</v>
      </c>
      <c r="G685" s="27">
        <v>729.43</v>
      </c>
      <c r="H685" s="27">
        <v>145.89</v>
      </c>
      <c r="I685" s="27">
        <v>875.32</v>
      </c>
    </row>
    <row r="686" ht="15" customHeight="1" spans="1:9">
      <c r="A686" t="s">
        <v>1654</v>
      </c>
      <c r="B686" t="s">
        <v>833</v>
      </c>
      <c r="C686" t="s">
        <v>461</v>
      </c>
      <c r="D686">
        <v>1</v>
      </c>
      <c r="E686" s="27">
        <v>59.83</v>
      </c>
      <c r="F686" s="28">
        <v>0</v>
      </c>
      <c r="G686" s="27">
        <v>59.83</v>
      </c>
      <c r="H686" s="27">
        <v>11.97</v>
      </c>
      <c r="I686" s="27">
        <v>71.8</v>
      </c>
    </row>
    <row r="687" ht="15" customHeight="1" spans="1:9">
      <c r="A687" t="s">
        <v>1655</v>
      </c>
      <c r="B687" t="s">
        <v>834</v>
      </c>
      <c r="C687" t="s">
        <v>459</v>
      </c>
      <c r="D687">
        <v>3</v>
      </c>
      <c r="E687" s="27">
        <v>70.8</v>
      </c>
      <c r="F687" s="28">
        <v>0.15</v>
      </c>
      <c r="G687" s="27">
        <v>180.54</v>
      </c>
      <c r="H687" s="27">
        <v>36.11</v>
      </c>
      <c r="I687" s="27">
        <v>216.65</v>
      </c>
    </row>
    <row r="688" ht="15" customHeight="1" spans="1:9">
      <c r="A688" t="s">
        <v>1656</v>
      </c>
      <c r="B688" t="s">
        <v>835</v>
      </c>
      <c r="C688" t="s">
        <v>400</v>
      </c>
      <c r="D688">
        <v>2</v>
      </c>
      <c r="E688" s="27">
        <v>328.03</v>
      </c>
      <c r="F688" s="28">
        <v>0</v>
      </c>
      <c r="G688" s="27">
        <v>656.06</v>
      </c>
      <c r="H688" s="27">
        <v>131.21</v>
      </c>
      <c r="I688" s="27">
        <v>787.27</v>
      </c>
    </row>
    <row r="689" ht="15" customHeight="1" spans="1:9">
      <c r="A689" t="s">
        <v>1657</v>
      </c>
      <c r="B689" t="s">
        <v>836</v>
      </c>
      <c r="C689" t="s">
        <v>374</v>
      </c>
      <c r="D689">
        <v>3</v>
      </c>
      <c r="E689" s="27">
        <v>251.56</v>
      </c>
      <c r="F689" s="28">
        <v>0</v>
      </c>
      <c r="G689" s="27">
        <v>754.68</v>
      </c>
      <c r="H689" s="27">
        <v>150.94</v>
      </c>
      <c r="I689" s="27">
        <v>905.62</v>
      </c>
    </row>
    <row r="690" ht="15" customHeight="1" spans="1:9">
      <c r="A690" t="s">
        <v>1658</v>
      </c>
      <c r="B690" t="s">
        <v>836</v>
      </c>
      <c r="C690" t="s">
        <v>442</v>
      </c>
      <c r="D690">
        <v>1</v>
      </c>
      <c r="E690" s="27">
        <v>374.59</v>
      </c>
      <c r="F690" s="28">
        <v>0</v>
      </c>
      <c r="G690" s="27">
        <v>374.59</v>
      </c>
      <c r="H690" s="27">
        <v>74.92</v>
      </c>
      <c r="I690" s="27">
        <v>449.51</v>
      </c>
    </row>
    <row r="691" ht="15" customHeight="1" spans="1:9">
      <c r="A691" t="s">
        <v>1659</v>
      </c>
      <c r="B691" t="s">
        <v>836</v>
      </c>
      <c r="C691" t="s">
        <v>412</v>
      </c>
      <c r="D691">
        <v>1</v>
      </c>
      <c r="E691" s="27">
        <v>114.1</v>
      </c>
      <c r="F691" s="28">
        <v>0</v>
      </c>
      <c r="G691" s="27">
        <v>114.1</v>
      </c>
      <c r="H691" s="27">
        <v>22.82</v>
      </c>
      <c r="I691" s="27">
        <v>136.92</v>
      </c>
    </row>
    <row r="692" ht="15" customHeight="1" spans="1:9">
      <c r="A692" t="s">
        <v>1660</v>
      </c>
      <c r="B692" t="s">
        <v>837</v>
      </c>
      <c r="C692" t="s">
        <v>404</v>
      </c>
      <c r="D692">
        <v>2</v>
      </c>
      <c r="E692" s="27">
        <v>30.09</v>
      </c>
      <c r="F692" s="28">
        <v>0</v>
      </c>
      <c r="G692" s="27">
        <v>60.18</v>
      </c>
      <c r="H692" s="27">
        <v>12.04</v>
      </c>
      <c r="I692" s="27">
        <v>72.22</v>
      </c>
    </row>
    <row r="693" ht="15" customHeight="1" spans="1:9">
      <c r="A693" t="s">
        <v>1661</v>
      </c>
      <c r="B693" t="s">
        <v>837</v>
      </c>
      <c r="C693" t="s">
        <v>446</v>
      </c>
      <c r="D693">
        <v>3</v>
      </c>
      <c r="E693" s="27">
        <v>454.43</v>
      </c>
      <c r="F693" s="28">
        <v>0.05</v>
      </c>
      <c r="G693" s="27">
        <v>1295.13</v>
      </c>
      <c r="H693" s="27">
        <v>259.03</v>
      </c>
      <c r="I693" s="27">
        <v>1554.16</v>
      </c>
    </row>
    <row r="694" ht="15" customHeight="1" spans="1:9">
      <c r="A694" t="s">
        <v>1662</v>
      </c>
      <c r="B694" t="s">
        <v>838</v>
      </c>
      <c r="C694" t="s">
        <v>396</v>
      </c>
      <c r="D694">
        <v>2</v>
      </c>
      <c r="E694" s="27">
        <v>225.64</v>
      </c>
      <c r="F694" s="28">
        <v>0.1</v>
      </c>
      <c r="G694" s="27">
        <v>406.15</v>
      </c>
      <c r="H694" s="27">
        <v>81.23</v>
      </c>
      <c r="I694" s="27">
        <v>487.38</v>
      </c>
    </row>
    <row r="695" ht="15" customHeight="1" spans="1:9">
      <c r="A695" t="s">
        <v>1663</v>
      </c>
      <c r="B695" t="s">
        <v>839</v>
      </c>
      <c r="C695" t="s">
        <v>427</v>
      </c>
      <c r="D695">
        <v>3</v>
      </c>
      <c r="E695" s="27">
        <v>25.25</v>
      </c>
      <c r="F695" s="28">
        <v>0.05</v>
      </c>
      <c r="G695" s="27">
        <v>71.96</v>
      </c>
      <c r="H695" s="27">
        <v>14.39</v>
      </c>
      <c r="I695" s="27">
        <v>86.35</v>
      </c>
    </row>
    <row r="696" ht="15" customHeight="1" spans="1:9">
      <c r="A696" t="s">
        <v>1664</v>
      </c>
      <c r="B696" t="s">
        <v>839</v>
      </c>
      <c r="C696" t="s">
        <v>469</v>
      </c>
      <c r="D696">
        <v>1</v>
      </c>
      <c r="E696" s="27">
        <v>30.71</v>
      </c>
      <c r="F696" s="28">
        <v>0</v>
      </c>
      <c r="G696" s="27">
        <v>30.71</v>
      </c>
      <c r="H696" s="27">
        <v>6.14</v>
      </c>
      <c r="I696" s="27">
        <v>36.85</v>
      </c>
    </row>
    <row r="697" ht="15" customHeight="1" spans="1:9">
      <c r="A697" t="s">
        <v>1665</v>
      </c>
      <c r="B697" t="s">
        <v>839</v>
      </c>
      <c r="C697" t="s">
        <v>448</v>
      </c>
      <c r="D697">
        <v>2</v>
      </c>
      <c r="E697" s="27">
        <v>543.43</v>
      </c>
      <c r="F697" s="28">
        <v>0.05</v>
      </c>
      <c r="G697" s="27">
        <v>1032.52</v>
      </c>
      <c r="H697" s="27">
        <v>206.5</v>
      </c>
      <c r="I697" s="27">
        <v>1239.02</v>
      </c>
    </row>
    <row r="698" ht="15" customHeight="1" spans="1:9">
      <c r="A698" t="s">
        <v>1666</v>
      </c>
      <c r="B698" t="s">
        <v>840</v>
      </c>
      <c r="C698" t="s">
        <v>372</v>
      </c>
      <c r="D698">
        <v>10</v>
      </c>
      <c r="E698" s="27">
        <v>216.77</v>
      </c>
      <c r="F698" s="28">
        <v>0.1</v>
      </c>
      <c r="G698" s="27">
        <v>1950.93</v>
      </c>
      <c r="H698" s="27">
        <v>390.19</v>
      </c>
      <c r="I698" s="27">
        <v>2341.12</v>
      </c>
    </row>
    <row r="699" ht="15" customHeight="1" spans="1:9">
      <c r="A699" t="s">
        <v>1667</v>
      </c>
      <c r="B699" t="s">
        <v>841</v>
      </c>
      <c r="C699" t="s">
        <v>370</v>
      </c>
      <c r="D699">
        <v>3</v>
      </c>
      <c r="E699" s="27">
        <v>970.58</v>
      </c>
      <c r="F699" s="28">
        <v>0.15</v>
      </c>
      <c r="G699" s="27">
        <v>2474.98</v>
      </c>
      <c r="H699" s="27">
        <v>495</v>
      </c>
      <c r="I699" s="27">
        <v>2969.98</v>
      </c>
    </row>
    <row r="700" ht="15" customHeight="1" spans="1:9">
      <c r="A700" t="s">
        <v>1668</v>
      </c>
      <c r="B700" t="s">
        <v>841</v>
      </c>
      <c r="C700" t="s">
        <v>408</v>
      </c>
      <c r="D700">
        <v>4</v>
      </c>
      <c r="E700" s="27">
        <v>19.65</v>
      </c>
      <c r="F700" s="28">
        <v>0.1</v>
      </c>
      <c r="G700" s="27">
        <v>70.74</v>
      </c>
      <c r="H700" s="27">
        <v>14.15</v>
      </c>
      <c r="I700" s="27">
        <v>84.89</v>
      </c>
    </row>
    <row r="701" ht="15" customHeight="1" spans="1:9">
      <c r="A701" t="s">
        <v>1669</v>
      </c>
      <c r="B701" t="s">
        <v>841</v>
      </c>
      <c r="C701" t="s">
        <v>446</v>
      </c>
      <c r="D701">
        <v>2</v>
      </c>
      <c r="E701" s="27">
        <v>454.43</v>
      </c>
      <c r="F701" s="28">
        <v>0.1</v>
      </c>
      <c r="G701" s="27">
        <v>817.97</v>
      </c>
      <c r="H701" s="27">
        <v>163.59</v>
      </c>
      <c r="I701" s="27">
        <v>981.56</v>
      </c>
    </row>
    <row r="702" ht="15" customHeight="1" spans="1:9">
      <c r="A702" t="s">
        <v>1670</v>
      </c>
      <c r="B702" t="s">
        <v>841</v>
      </c>
      <c r="C702" t="s">
        <v>391</v>
      </c>
      <c r="D702">
        <v>1</v>
      </c>
      <c r="E702" s="27">
        <v>138.13</v>
      </c>
      <c r="F702" s="28">
        <v>0.05</v>
      </c>
      <c r="G702" s="27">
        <v>131.22</v>
      </c>
      <c r="H702" s="27">
        <v>26.24</v>
      </c>
      <c r="I702" s="27">
        <v>157.46</v>
      </c>
    </row>
    <row r="703" ht="15" customHeight="1" spans="1:9">
      <c r="A703" t="s">
        <v>1671</v>
      </c>
      <c r="B703" t="s">
        <v>842</v>
      </c>
      <c r="C703" t="s">
        <v>412</v>
      </c>
      <c r="D703">
        <v>1</v>
      </c>
      <c r="E703" s="27">
        <v>114.1</v>
      </c>
      <c r="F703" s="28">
        <v>0.05</v>
      </c>
      <c r="G703" s="27">
        <v>108.39</v>
      </c>
      <c r="H703" s="27">
        <v>21.68</v>
      </c>
      <c r="I703" s="27">
        <v>130.07</v>
      </c>
    </row>
    <row r="704" ht="15" customHeight="1" spans="1:9">
      <c r="A704" t="s">
        <v>1672</v>
      </c>
      <c r="B704" t="s">
        <v>843</v>
      </c>
      <c r="C704" t="s">
        <v>465</v>
      </c>
      <c r="D704">
        <v>3</v>
      </c>
      <c r="E704" s="27">
        <v>44.16</v>
      </c>
      <c r="F704" s="28">
        <v>0</v>
      </c>
      <c r="G704" s="27">
        <v>132.48</v>
      </c>
      <c r="H704" s="27">
        <v>26.5</v>
      </c>
      <c r="I704" s="27">
        <v>158.98</v>
      </c>
    </row>
    <row r="705" ht="15" customHeight="1" spans="1:9">
      <c r="A705" t="s">
        <v>1673</v>
      </c>
      <c r="B705" t="s">
        <v>843</v>
      </c>
      <c r="C705" t="s">
        <v>452</v>
      </c>
      <c r="D705">
        <v>2</v>
      </c>
      <c r="E705" s="27">
        <v>381.57</v>
      </c>
      <c r="F705" s="28">
        <v>0</v>
      </c>
      <c r="G705" s="27">
        <v>763.14</v>
      </c>
      <c r="H705" s="27">
        <v>152.63</v>
      </c>
      <c r="I705" s="27">
        <v>915.77</v>
      </c>
    </row>
    <row r="706" ht="15" customHeight="1" spans="1:9">
      <c r="A706" t="s">
        <v>1674</v>
      </c>
      <c r="B706" t="s">
        <v>844</v>
      </c>
      <c r="C706" t="s">
        <v>429</v>
      </c>
      <c r="D706">
        <v>1</v>
      </c>
      <c r="E706" s="27">
        <v>32.75</v>
      </c>
      <c r="F706" s="28">
        <v>0</v>
      </c>
      <c r="G706" s="27">
        <v>32.75</v>
      </c>
      <c r="H706" s="27">
        <v>6.55</v>
      </c>
      <c r="I706" s="27">
        <v>39.3</v>
      </c>
    </row>
    <row r="707" ht="15" customHeight="1" spans="1:9">
      <c r="A707" t="s">
        <v>1675</v>
      </c>
      <c r="B707" t="s">
        <v>844</v>
      </c>
      <c r="C707" t="s">
        <v>475</v>
      </c>
      <c r="D707">
        <v>1</v>
      </c>
      <c r="E707" s="27">
        <v>42</v>
      </c>
      <c r="F707" s="28">
        <v>0.15</v>
      </c>
      <c r="G707" s="27">
        <v>35.7</v>
      </c>
      <c r="H707" s="27">
        <v>7.14</v>
      </c>
      <c r="I707" s="27">
        <v>42.84</v>
      </c>
    </row>
    <row r="708" ht="15" customHeight="1" spans="1:9">
      <c r="A708" t="s">
        <v>1676</v>
      </c>
      <c r="B708" t="s">
        <v>844</v>
      </c>
      <c r="C708" t="s">
        <v>452</v>
      </c>
      <c r="D708">
        <v>5</v>
      </c>
      <c r="E708" s="27">
        <v>381.57</v>
      </c>
      <c r="F708" s="28">
        <v>0.15</v>
      </c>
      <c r="G708" s="27">
        <v>1621.67</v>
      </c>
      <c r="H708" s="27">
        <v>324.33</v>
      </c>
      <c r="I708" s="27">
        <v>1946</v>
      </c>
    </row>
    <row r="709" ht="15" customHeight="1" spans="1:9">
      <c r="A709" t="s">
        <v>1677</v>
      </c>
      <c r="B709" t="s">
        <v>844</v>
      </c>
      <c r="C709" t="s">
        <v>475</v>
      </c>
      <c r="D709">
        <v>2</v>
      </c>
      <c r="E709" s="27">
        <v>42</v>
      </c>
      <c r="F709" s="28">
        <v>0</v>
      </c>
      <c r="G709" s="27">
        <v>84</v>
      </c>
      <c r="H709" s="27">
        <v>16.8</v>
      </c>
      <c r="I709" s="27">
        <v>100.8</v>
      </c>
    </row>
    <row r="710" ht="15" customHeight="1" spans="1:9">
      <c r="A710" t="s">
        <v>1678</v>
      </c>
      <c r="B710" t="s">
        <v>845</v>
      </c>
      <c r="C710" t="s">
        <v>402</v>
      </c>
      <c r="D710">
        <v>1</v>
      </c>
      <c r="E710" s="27">
        <v>26.57</v>
      </c>
      <c r="F710" s="28">
        <v>0.15</v>
      </c>
      <c r="G710" s="27">
        <v>22.58</v>
      </c>
      <c r="H710" s="27">
        <v>4.52</v>
      </c>
      <c r="I710" s="27">
        <v>27.1</v>
      </c>
    </row>
    <row r="711" ht="15" customHeight="1" spans="1:9">
      <c r="A711" t="s">
        <v>1679</v>
      </c>
      <c r="B711" t="s">
        <v>845</v>
      </c>
      <c r="C711" t="s">
        <v>469</v>
      </c>
      <c r="D711">
        <v>10</v>
      </c>
      <c r="E711" s="27">
        <v>30.71</v>
      </c>
      <c r="F711" s="28">
        <v>0.05</v>
      </c>
      <c r="G711" s="27">
        <v>291.75</v>
      </c>
      <c r="H711" s="27">
        <v>58.35</v>
      </c>
      <c r="I711" s="27">
        <v>350.1</v>
      </c>
    </row>
    <row r="712" ht="15" customHeight="1" spans="1:9">
      <c r="A712" t="s">
        <v>1680</v>
      </c>
      <c r="B712" t="s">
        <v>846</v>
      </c>
      <c r="C712" t="s">
        <v>417</v>
      </c>
      <c r="D712">
        <v>1</v>
      </c>
      <c r="E712" s="27">
        <v>59.79</v>
      </c>
      <c r="F712" s="28">
        <v>0.1</v>
      </c>
      <c r="G712" s="27">
        <v>53.81</v>
      </c>
      <c r="H712" s="27">
        <v>10.76</v>
      </c>
      <c r="I712" s="27">
        <v>64.57</v>
      </c>
    </row>
    <row r="713" ht="15" customHeight="1" spans="1:9">
      <c r="A713" t="s">
        <v>1681</v>
      </c>
      <c r="B713" t="s">
        <v>847</v>
      </c>
      <c r="C713" t="s">
        <v>435</v>
      </c>
      <c r="D713">
        <v>2</v>
      </c>
      <c r="E713" s="27">
        <v>262.34</v>
      </c>
      <c r="F713" s="28">
        <v>0.05</v>
      </c>
      <c r="G713" s="27">
        <v>498.45</v>
      </c>
      <c r="H713" s="27">
        <v>99.69</v>
      </c>
      <c r="I713" s="27">
        <v>598.14</v>
      </c>
    </row>
    <row r="714" ht="15" customHeight="1" spans="1:9">
      <c r="A714" t="s">
        <v>1682</v>
      </c>
      <c r="B714" t="s">
        <v>847</v>
      </c>
      <c r="C714" t="s">
        <v>425</v>
      </c>
      <c r="D714">
        <v>2</v>
      </c>
      <c r="E714" s="27">
        <v>36.08</v>
      </c>
      <c r="F714" s="28">
        <v>0</v>
      </c>
      <c r="G714" s="27">
        <v>72.16</v>
      </c>
      <c r="H714" s="27">
        <v>14.43</v>
      </c>
      <c r="I714" s="27">
        <v>86.59</v>
      </c>
    </row>
    <row r="715" ht="15" customHeight="1" spans="1:9">
      <c r="A715" t="s">
        <v>1683</v>
      </c>
      <c r="B715" t="s">
        <v>847</v>
      </c>
      <c r="C715" t="s">
        <v>446</v>
      </c>
      <c r="D715">
        <v>2</v>
      </c>
      <c r="E715" s="27">
        <v>454.43</v>
      </c>
      <c r="F715" s="28">
        <v>0.15</v>
      </c>
      <c r="G715" s="27">
        <v>772.53</v>
      </c>
      <c r="H715" s="27">
        <v>154.51</v>
      </c>
      <c r="I715" s="27">
        <v>927.04</v>
      </c>
    </row>
    <row r="716" ht="15" customHeight="1" spans="1:9">
      <c r="A716" t="s">
        <v>1684</v>
      </c>
      <c r="B716" t="s">
        <v>848</v>
      </c>
      <c r="C716" t="s">
        <v>448</v>
      </c>
      <c r="D716">
        <v>1</v>
      </c>
      <c r="E716" s="27">
        <v>543.43</v>
      </c>
      <c r="F716" s="28">
        <v>0.15</v>
      </c>
      <c r="G716" s="27">
        <v>461.92</v>
      </c>
      <c r="H716" s="27">
        <v>92.38</v>
      </c>
      <c r="I716" s="27">
        <v>554.3</v>
      </c>
    </row>
    <row r="717" ht="15" customHeight="1" spans="1:9">
      <c r="A717" t="s">
        <v>1685</v>
      </c>
      <c r="B717" t="s">
        <v>848</v>
      </c>
      <c r="C717" t="s">
        <v>427</v>
      </c>
      <c r="D717">
        <v>1</v>
      </c>
      <c r="E717" s="27">
        <v>25.25</v>
      </c>
      <c r="F717" s="28">
        <v>0</v>
      </c>
      <c r="G717" s="27">
        <v>25.25</v>
      </c>
      <c r="H717" s="27">
        <v>5.05</v>
      </c>
      <c r="I717" s="27">
        <v>30.3</v>
      </c>
    </row>
    <row r="718" ht="15" customHeight="1" spans="1:9">
      <c r="A718" t="s">
        <v>1686</v>
      </c>
      <c r="B718" t="s">
        <v>848</v>
      </c>
      <c r="C718" t="s">
        <v>398</v>
      </c>
      <c r="D718">
        <v>1</v>
      </c>
      <c r="E718" s="27">
        <v>383.91</v>
      </c>
      <c r="F718" s="28">
        <v>0.1</v>
      </c>
      <c r="G718" s="27">
        <v>345.52</v>
      </c>
      <c r="H718" s="27">
        <v>69.1</v>
      </c>
      <c r="I718" s="27">
        <v>414.62</v>
      </c>
    </row>
    <row r="719" ht="15" customHeight="1" spans="1:9">
      <c r="A719" t="s">
        <v>1687</v>
      </c>
      <c r="B719" t="s">
        <v>849</v>
      </c>
      <c r="C719" t="s">
        <v>402</v>
      </c>
      <c r="D719">
        <v>1</v>
      </c>
      <c r="E719" s="27">
        <v>26.57</v>
      </c>
      <c r="F719" s="28">
        <v>0</v>
      </c>
      <c r="G719" s="27">
        <v>26.57</v>
      </c>
      <c r="H719" s="27">
        <v>5.31</v>
      </c>
      <c r="I719" s="27">
        <v>31.88</v>
      </c>
    </row>
    <row r="720" ht="15" customHeight="1" spans="1:9">
      <c r="A720" t="s">
        <v>1688</v>
      </c>
      <c r="B720" t="s">
        <v>849</v>
      </c>
      <c r="C720" t="s">
        <v>391</v>
      </c>
      <c r="D720">
        <v>3</v>
      </c>
      <c r="E720" s="27">
        <v>138.13</v>
      </c>
      <c r="F720" s="28">
        <v>0</v>
      </c>
      <c r="G720" s="27">
        <v>414.39</v>
      </c>
      <c r="H720" s="27">
        <v>82.88</v>
      </c>
      <c r="I720" s="27">
        <v>497.27</v>
      </c>
    </row>
    <row r="721" ht="15" customHeight="1" spans="1:9">
      <c r="A721" t="s">
        <v>1689</v>
      </c>
      <c r="B721" t="s">
        <v>850</v>
      </c>
      <c r="C721" t="s">
        <v>465</v>
      </c>
      <c r="D721">
        <v>3</v>
      </c>
      <c r="E721" s="27">
        <v>44.16</v>
      </c>
      <c r="F721" s="28">
        <v>0</v>
      </c>
      <c r="G721" s="27">
        <v>132.48</v>
      </c>
      <c r="H721" s="27">
        <v>26.5</v>
      </c>
      <c r="I721" s="27">
        <v>158.98</v>
      </c>
    </row>
    <row r="722" ht="15" customHeight="1" spans="1:9">
      <c r="A722" t="s">
        <v>1690</v>
      </c>
      <c r="B722" t="s">
        <v>851</v>
      </c>
      <c r="C722" t="s">
        <v>473</v>
      </c>
      <c r="D722">
        <v>1</v>
      </c>
      <c r="E722" s="27">
        <v>40.73</v>
      </c>
      <c r="F722" s="28">
        <v>0.05</v>
      </c>
      <c r="G722" s="27">
        <v>38.69</v>
      </c>
      <c r="H722" s="27">
        <v>7.74</v>
      </c>
      <c r="I722" s="27">
        <v>46.43</v>
      </c>
    </row>
    <row r="723" ht="15" customHeight="1" spans="1:9">
      <c r="A723" t="s">
        <v>1691</v>
      </c>
      <c r="B723" t="s">
        <v>851</v>
      </c>
      <c r="C723" t="s">
        <v>454</v>
      </c>
      <c r="D723">
        <v>3</v>
      </c>
      <c r="E723" s="27">
        <v>375.86</v>
      </c>
      <c r="F723" s="28">
        <v>0</v>
      </c>
      <c r="G723" s="27">
        <v>1127.58</v>
      </c>
      <c r="H723" s="27">
        <v>225.52</v>
      </c>
      <c r="I723" s="27">
        <v>1353.1</v>
      </c>
    </row>
    <row r="724" ht="15" customHeight="1" spans="1:9">
      <c r="A724" t="s">
        <v>1692</v>
      </c>
      <c r="B724" t="s">
        <v>852</v>
      </c>
      <c r="C724" t="s">
        <v>410</v>
      </c>
      <c r="D724">
        <v>1</v>
      </c>
      <c r="E724" s="27">
        <v>106.93</v>
      </c>
      <c r="F724" s="28">
        <v>0.15</v>
      </c>
      <c r="G724" s="27">
        <v>90.89</v>
      </c>
      <c r="H724" s="27">
        <v>18.18</v>
      </c>
      <c r="I724" s="27">
        <v>109.07</v>
      </c>
    </row>
    <row r="725" ht="15" customHeight="1" spans="1:9">
      <c r="A725" t="s">
        <v>1693</v>
      </c>
      <c r="B725" t="s">
        <v>853</v>
      </c>
      <c r="C725" t="s">
        <v>408</v>
      </c>
      <c r="D725">
        <v>2</v>
      </c>
      <c r="E725" s="27">
        <v>19.65</v>
      </c>
      <c r="F725" s="28">
        <v>0.15</v>
      </c>
      <c r="G725" s="27">
        <v>33.4</v>
      </c>
      <c r="H725" s="27">
        <v>6.68</v>
      </c>
      <c r="I725" s="27">
        <v>40.08</v>
      </c>
    </row>
    <row r="726" ht="15" customHeight="1" spans="1:9">
      <c r="A726" t="s">
        <v>1694</v>
      </c>
      <c r="B726" t="s">
        <v>853</v>
      </c>
      <c r="C726" t="s">
        <v>421</v>
      </c>
      <c r="D726">
        <v>4</v>
      </c>
      <c r="E726" s="27">
        <v>78.78</v>
      </c>
      <c r="F726" s="28">
        <v>0</v>
      </c>
      <c r="G726" s="27">
        <v>315.12</v>
      </c>
      <c r="H726" s="27">
        <v>63.02</v>
      </c>
      <c r="I726" s="27">
        <v>378.14</v>
      </c>
    </row>
    <row r="727" ht="15" customHeight="1" spans="1:9">
      <c r="A727" t="s">
        <v>1695</v>
      </c>
      <c r="B727" t="s">
        <v>854</v>
      </c>
      <c r="C727" t="s">
        <v>452</v>
      </c>
      <c r="D727">
        <v>2</v>
      </c>
      <c r="E727" s="27">
        <v>381.57</v>
      </c>
      <c r="F727" s="28">
        <v>0</v>
      </c>
      <c r="G727" s="27">
        <v>763.14</v>
      </c>
      <c r="H727" s="27">
        <v>152.63</v>
      </c>
      <c r="I727" s="27">
        <v>915.77</v>
      </c>
    </row>
    <row r="728" ht="15" customHeight="1" spans="1:9">
      <c r="A728" t="s">
        <v>1696</v>
      </c>
      <c r="B728" t="s">
        <v>854</v>
      </c>
      <c r="C728" t="s">
        <v>398</v>
      </c>
      <c r="D728">
        <v>2</v>
      </c>
      <c r="E728" s="27">
        <v>383.91</v>
      </c>
      <c r="F728" s="28">
        <v>0.05</v>
      </c>
      <c r="G728" s="27">
        <v>729.43</v>
      </c>
      <c r="H728" s="27">
        <v>145.89</v>
      </c>
      <c r="I728" s="27">
        <v>875.32</v>
      </c>
    </row>
    <row r="729" ht="15" customHeight="1" spans="1:9">
      <c r="A729" t="s">
        <v>1697</v>
      </c>
      <c r="B729" t="s">
        <v>855</v>
      </c>
      <c r="C729" t="s">
        <v>471</v>
      </c>
      <c r="D729">
        <v>1</v>
      </c>
      <c r="E729" s="27">
        <v>35.83</v>
      </c>
      <c r="F729" s="28">
        <v>0</v>
      </c>
      <c r="G729" s="27">
        <v>35.83</v>
      </c>
      <c r="H729" s="27">
        <v>7.17</v>
      </c>
      <c r="I729" s="27">
        <v>43</v>
      </c>
    </row>
    <row r="730" ht="15" customHeight="1" spans="1:9">
      <c r="A730" t="s">
        <v>1698</v>
      </c>
      <c r="B730" t="s">
        <v>855</v>
      </c>
      <c r="C730" t="s">
        <v>463</v>
      </c>
      <c r="D730">
        <v>1</v>
      </c>
      <c r="E730" s="27">
        <v>73.02</v>
      </c>
      <c r="F730" s="28">
        <v>0.15</v>
      </c>
      <c r="G730" s="27">
        <v>62.07</v>
      </c>
      <c r="H730" s="27">
        <v>12.41</v>
      </c>
      <c r="I730" s="27">
        <v>74.48</v>
      </c>
    </row>
    <row r="731" ht="15" customHeight="1" spans="1:9">
      <c r="A731" t="s">
        <v>1699</v>
      </c>
      <c r="B731" t="s">
        <v>856</v>
      </c>
      <c r="C731" t="s">
        <v>370</v>
      </c>
      <c r="D731">
        <v>5</v>
      </c>
      <c r="E731" s="27">
        <v>970.58</v>
      </c>
      <c r="F731" s="28">
        <v>0</v>
      </c>
      <c r="G731" s="27">
        <v>4852.9</v>
      </c>
      <c r="H731" s="27">
        <v>970.58</v>
      </c>
      <c r="I731" s="27">
        <v>5823.48</v>
      </c>
    </row>
    <row r="732" ht="15" customHeight="1" spans="1:9">
      <c r="A732" t="s">
        <v>1700</v>
      </c>
      <c r="B732" t="s">
        <v>856</v>
      </c>
      <c r="C732" t="s">
        <v>402</v>
      </c>
      <c r="D732">
        <v>1</v>
      </c>
      <c r="E732" s="27">
        <v>26.57</v>
      </c>
      <c r="F732" s="28">
        <v>0.05</v>
      </c>
      <c r="G732" s="27">
        <v>25.24</v>
      </c>
      <c r="H732" s="27">
        <v>5.05</v>
      </c>
      <c r="I732" s="27">
        <v>30.29</v>
      </c>
    </row>
    <row r="733" ht="15" customHeight="1" spans="1:9">
      <c r="A733" t="s">
        <v>1701</v>
      </c>
      <c r="B733" t="s">
        <v>856</v>
      </c>
      <c r="C733" t="s">
        <v>461</v>
      </c>
      <c r="D733">
        <v>1</v>
      </c>
      <c r="E733" s="27">
        <v>59.83</v>
      </c>
      <c r="F733" s="28">
        <v>0.15</v>
      </c>
      <c r="G733" s="27">
        <v>50.86</v>
      </c>
      <c r="H733" s="27">
        <v>10.17</v>
      </c>
      <c r="I733" s="27">
        <v>61.03</v>
      </c>
    </row>
    <row r="734" ht="15" customHeight="1" spans="1:9">
      <c r="A734" t="s">
        <v>1702</v>
      </c>
      <c r="B734" t="s">
        <v>856</v>
      </c>
      <c r="C734" t="s">
        <v>423</v>
      </c>
      <c r="D734">
        <v>2</v>
      </c>
      <c r="E734" s="27">
        <v>46.02</v>
      </c>
      <c r="F734" s="28">
        <v>0.15</v>
      </c>
      <c r="G734" s="27">
        <v>78.23</v>
      </c>
      <c r="H734" s="27">
        <v>15.65</v>
      </c>
      <c r="I734" s="27">
        <v>93.88</v>
      </c>
    </row>
    <row r="735" ht="15" customHeight="1" spans="1:9">
      <c r="A735" t="s">
        <v>1703</v>
      </c>
      <c r="B735" t="s">
        <v>857</v>
      </c>
      <c r="C735" t="s">
        <v>452</v>
      </c>
      <c r="D735">
        <v>1</v>
      </c>
      <c r="E735" s="27">
        <v>381.57</v>
      </c>
      <c r="F735" s="28">
        <v>0.1</v>
      </c>
      <c r="G735" s="27">
        <v>343.41</v>
      </c>
      <c r="H735" s="27">
        <v>68.68</v>
      </c>
      <c r="I735" s="27">
        <v>412.09</v>
      </c>
    </row>
    <row r="736" ht="15" customHeight="1" spans="1:9">
      <c r="A736" t="s">
        <v>1704</v>
      </c>
      <c r="B736" t="s">
        <v>857</v>
      </c>
      <c r="C736" t="s">
        <v>389</v>
      </c>
      <c r="D736">
        <v>1</v>
      </c>
      <c r="E736" s="27">
        <v>120.37</v>
      </c>
      <c r="F736" s="28">
        <v>0</v>
      </c>
      <c r="G736" s="27">
        <v>120.37</v>
      </c>
      <c r="H736" s="27">
        <v>24.07</v>
      </c>
      <c r="I736" s="27">
        <v>144.44</v>
      </c>
    </row>
    <row r="737" ht="15" customHeight="1" spans="1:9">
      <c r="A737" t="s">
        <v>1705</v>
      </c>
      <c r="B737" t="s">
        <v>857</v>
      </c>
      <c r="C737" t="s">
        <v>450</v>
      </c>
      <c r="D737">
        <v>2</v>
      </c>
      <c r="E737" s="27">
        <v>538.29</v>
      </c>
      <c r="F737" s="28">
        <v>0</v>
      </c>
      <c r="G737" s="27">
        <v>1076.58</v>
      </c>
      <c r="H737" s="27">
        <v>215.32</v>
      </c>
      <c r="I737" s="27">
        <v>1291.9</v>
      </c>
    </row>
    <row r="738" ht="15" customHeight="1" spans="1:9">
      <c r="A738" t="s">
        <v>1706</v>
      </c>
      <c r="B738" t="s">
        <v>857</v>
      </c>
      <c r="C738" t="s">
        <v>389</v>
      </c>
      <c r="D738">
        <v>1</v>
      </c>
      <c r="E738" s="27">
        <v>120.37</v>
      </c>
      <c r="F738" s="28">
        <v>0.15</v>
      </c>
      <c r="G738" s="27">
        <v>102.31</v>
      </c>
      <c r="H738" s="27">
        <v>20.46</v>
      </c>
      <c r="I738" s="27">
        <v>122.77</v>
      </c>
    </row>
    <row r="739" ht="15" customHeight="1" spans="1:9">
      <c r="A739" t="s">
        <v>1707</v>
      </c>
      <c r="B739" t="s">
        <v>857</v>
      </c>
      <c r="C739" t="s">
        <v>442</v>
      </c>
      <c r="D739">
        <v>4</v>
      </c>
      <c r="E739" s="27">
        <v>374.59</v>
      </c>
      <c r="F739" s="28">
        <v>0.05</v>
      </c>
      <c r="G739" s="27">
        <v>1423.44</v>
      </c>
      <c r="H739" s="27">
        <v>284.69</v>
      </c>
      <c r="I739" s="27">
        <v>1708.13</v>
      </c>
    </row>
    <row r="740" ht="15" customHeight="1" spans="1:9">
      <c r="A740" t="s">
        <v>1708</v>
      </c>
      <c r="B740" t="s">
        <v>858</v>
      </c>
      <c r="C740" t="s">
        <v>391</v>
      </c>
      <c r="D740">
        <v>3</v>
      </c>
      <c r="E740" s="27">
        <v>138.13</v>
      </c>
      <c r="F740" s="28">
        <v>0</v>
      </c>
      <c r="G740" s="27">
        <v>414.39</v>
      </c>
      <c r="H740" s="27">
        <v>82.88</v>
      </c>
      <c r="I740" s="27">
        <v>497.27</v>
      </c>
    </row>
    <row r="741" ht="15" customHeight="1" spans="1:9">
      <c r="A741" t="s">
        <v>1709</v>
      </c>
      <c r="B741" t="s">
        <v>858</v>
      </c>
      <c r="C741" t="s">
        <v>427</v>
      </c>
      <c r="D741">
        <v>8</v>
      </c>
      <c r="E741" s="27">
        <v>25.25</v>
      </c>
      <c r="F741" s="28">
        <v>0</v>
      </c>
      <c r="G741" s="27">
        <v>202</v>
      </c>
      <c r="H741" s="27">
        <v>40.4</v>
      </c>
      <c r="I741" s="27">
        <v>242.4</v>
      </c>
    </row>
    <row r="742" ht="15" customHeight="1" spans="1:9">
      <c r="A742" t="s">
        <v>1710</v>
      </c>
      <c r="B742" t="s">
        <v>859</v>
      </c>
      <c r="C742" t="s">
        <v>473</v>
      </c>
      <c r="D742">
        <v>10</v>
      </c>
      <c r="E742" s="27">
        <v>40.73</v>
      </c>
      <c r="F742" s="28">
        <v>0.1</v>
      </c>
      <c r="G742" s="27">
        <v>366.57</v>
      </c>
      <c r="H742" s="27">
        <v>73.31</v>
      </c>
      <c r="I742" s="27">
        <v>439.88</v>
      </c>
    </row>
    <row r="743" ht="15" customHeight="1" spans="1:9">
      <c r="A743" t="s">
        <v>1711</v>
      </c>
      <c r="B743" t="s">
        <v>860</v>
      </c>
      <c r="C743" t="s">
        <v>465</v>
      </c>
      <c r="D743">
        <v>3</v>
      </c>
      <c r="E743" s="27">
        <v>44.16</v>
      </c>
      <c r="F743" s="28">
        <v>0</v>
      </c>
      <c r="G743" s="27">
        <v>132.48</v>
      </c>
      <c r="H743" s="27">
        <v>26.5</v>
      </c>
      <c r="I743" s="27">
        <v>158.98</v>
      </c>
    </row>
    <row r="744" ht="15" customHeight="1" spans="1:9">
      <c r="A744" t="s">
        <v>1712</v>
      </c>
      <c r="B744" t="s">
        <v>860</v>
      </c>
      <c r="C744" t="s">
        <v>440</v>
      </c>
      <c r="D744">
        <v>3</v>
      </c>
      <c r="E744" s="27">
        <v>391.34</v>
      </c>
      <c r="F744" s="28">
        <v>0.05</v>
      </c>
      <c r="G744" s="27">
        <v>1115.32</v>
      </c>
      <c r="H744" s="27">
        <v>223.06</v>
      </c>
      <c r="I744" s="27">
        <v>1338.38</v>
      </c>
    </row>
    <row r="745" ht="15" customHeight="1" spans="1:9">
      <c r="A745" t="s">
        <v>1713</v>
      </c>
      <c r="B745" t="s">
        <v>861</v>
      </c>
      <c r="C745" t="s">
        <v>398</v>
      </c>
      <c r="D745">
        <v>1</v>
      </c>
      <c r="E745" s="27">
        <v>383.91</v>
      </c>
      <c r="F745" s="28">
        <v>0.05</v>
      </c>
      <c r="G745" s="27">
        <v>364.71</v>
      </c>
      <c r="H745" s="27">
        <v>72.94</v>
      </c>
      <c r="I745" s="27">
        <v>437.65</v>
      </c>
    </row>
    <row r="746" ht="15" customHeight="1" spans="1:9">
      <c r="A746" t="s">
        <v>1714</v>
      </c>
      <c r="B746" t="s">
        <v>862</v>
      </c>
      <c r="C746" t="s">
        <v>431</v>
      </c>
      <c r="D746">
        <v>4</v>
      </c>
      <c r="E746" s="27">
        <v>47.74</v>
      </c>
      <c r="F746" s="28">
        <v>0.05</v>
      </c>
      <c r="G746" s="27">
        <v>181.41</v>
      </c>
      <c r="H746" s="27">
        <v>36.28</v>
      </c>
      <c r="I746" s="27">
        <v>217.69</v>
      </c>
    </row>
    <row r="747" ht="15" customHeight="1" spans="1:9">
      <c r="A747" t="s">
        <v>1715</v>
      </c>
      <c r="B747" t="s">
        <v>863</v>
      </c>
      <c r="C747" t="s">
        <v>425</v>
      </c>
      <c r="D747">
        <v>2</v>
      </c>
      <c r="E747" s="27">
        <v>36.08</v>
      </c>
      <c r="F747" s="28">
        <v>0.15</v>
      </c>
      <c r="G747" s="27">
        <v>61.34</v>
      </c>
      <c r="H747" s="27">
        <v>12.27</v>
      </c>
      <c r="I747" s="27">
        <v>73.61</v>
      </c>
    </row>
    <row r="748" ht="15" customHeight="1" spans="1:9">
      <c r="A748" t="s">
        <v>1716</v>
      </c>
      <c r="B748" t="s">
        <v>863</v>
      </c>
      <c r="C748" t="s">
        <v>448</v>
      </c>
      <c r="D748">
        <v>2</v>
      </c>
      <c r="E748" s="27">
        <v>543.43</v>
      </c>
      <c r="F748" s="28">
        <v>0.1</v>
      </c>
      <c r="G748" s="27">
        <v>978.17</v>
      </c>
      <c r="H748" s="27">
        <v>195.63</v>
      </c>
      <c r="I748" s="27">
        <v>1173.8</v>
      </c>
    </row>
    <row r="749" ht="15" customHeight="1" spans="1:9">
      <c r="A749" t="s">
        <v>1717</v>
      </c>
      <c r="B749" t="s">
        <v>863</v>
      </c>
      <c r="C749" t="s">
        <v>459</v>
      </c>
      <c r="D749">
        <v>4</v>
      </c>
      <c r="E749" s="27">
        <v>70.8</v>
      </c>
      <c r="F749" s="28">
        <v>0</v>
      </c>
      <c r="G749" s="27">
        <v>283.2</v>
      </c>
      <c r="H749" s="27">
        <v>56.64</v>
      </c>
      <c r="I749" s="27">
        <v>339.84</v>
      </c>
    </row>
    <row r="750" ht="15" customHeight="1" spans="1:9">
      <c r="A750" t="s">
        <v>1718</v>
      </c>
      <c r="B750" t="s">
        <v>864</v>
      </c>
      <c r="C750" t="s">
        <v>425</v>
      </c>
      <c r="D750">
        <v>10</v>
      </c>
      <c r="E750" s="27">
        <v>36.08</v>
      </c>
      <c r="F750" s="28">
        <v>0</v>
      </c>
      <c r="G750" s="27">
        <v>360.8</v>
      </c>
      <c r="H750" s="27">
        <v>72.16</v>
      </c>
      <c r="I750" s="27">
        <v>432.96</v>
      </c>
    </row>
    <row r="751" ht="15" customHeight="1" spans="1:9">
      <c r="A751" t="s">
        <v>1719</v>
      </c>
      <c r="B751" t="s">
        <v>864</v>
      </c>
      <c r="C751" t="s">
        <v>446</v>
      </c>
      <c r="D751">
        <v>1</v>
      </c>
      <c r="E751" s="27">
        <v>454.43</v>
      </c>
      <c r="F751" s="28">
        <v>0.15</v>
      </c>
      <c r="G751" s="27">
        <v>386.27</v>
      </c>
      <c r="H751" s="27">
        <v>77.25</v>
      </c>
      <c r="I751" s="27">
        <v>463.52</v>
      </c>
    </row>
    <row r="752" ht="15" customHeight="1" spans="1:9">
      <c r="A752" t="s">
        <v>1720</v>
      </c>
      <c r="B752" t="s">
        <v>865</v>
      </c>
      <c r="C752" t="s">
        <v>429</v>
      </c>
      <c r="D752">
        <v>1</v>
      </c>
      <c r="E752" s="27">
        <v>32.75</v>
      </c>
      <c r="F752" s="28">
        <v>0</v>
      </c>
      <c r="G752" s="27">
        <v>32.75</v>
      </c>
      <c r="H752" s="27">
        <v>6.55</v>
      </c>
      <c r="I752" s="27">
        <v>39.3</v>
      </c>
    </row>
    <row r="753" ht="15" customHeight="1" spans="1:9">
      <c r="A753" t="s">
        <v>1721</v>
      </c>
      <c r="B753" t="s">
        <v>865</v>
      </c>
      <c r="C753" t="s">
        <v>465</v>
      </c>
      <c r="D753">
        <v>2</v>
      </c>
      <c r="E753" s="27">
        <v>44.16</v>
      </c>
      <c r="F753" s="28">
        <v>0</v>
      </c>
      <c r="G753" s="27">
        <v>88.32</v>
      </c>
      <c r="H753" s="27">
        <v>17.66</v>
      </c>
      <c r="I753" s="27">
        <v>105.98</v>
      </c>
    </row>
    <row r="754" ht="15" customHeight="1" spans="1:9">
      <c r="A754" t="s">
        <v>1722</v>
      </c>
      <c r="B754" t="s">
        <v>866</v>
      </c>
      <c r="C754" t="s">
        <v>465</v>
      </c>
      <c r="D754">
        <v>2</v>
      </c>
      <c r="E754" s="27">
        <v>44.16</v>
      </c>
      <c r="F754" s="28">
        <v>0.05</v>
      </c>
      <c r="G754" s="27">
        <v>83.9</v>
      </c>
      <c r="H754" s="27">
        <v>16.78</v>
      </c>
      <c r="I754" s="27">
        <v>100.68</v>
      </c>
    </row>
    <row r="755" ht="15" customHeight="1" spans="1:9">
      <c r="A755" t="s">
        <v>1723</v>
      </c>
      <c r="B755" t="s">
        <v>866</v>
      </c>
      <c r="C755" t="s">
        <v>427</v>
      </c>
      <c r="D755">
        <v>1</v>
      </c>
      <c r="E755" s="27">
        <v>25.25</v>
      </c>
      <c r="F755" s="28">
        <v>0</v>
      </c>
      <c r="G755" s="27">
        <v>25.25</v>
      </c>
      <c r="H755" s="27">
        <v>5.05</v>
      </c>
      <c r="I755" s="27">
        <v>30.3</v>
      </c>
    </row>
    <row r="756" ht="15" customHeight="1" spans="1:9">
      <c r="A756" t="s">
        <v>1724</v>
      </c>
      <c r="B756" t="s">
        <v>866</v>
      </c>
      <c r="C756" t="s">
        <v>396</v>
      </c>
      <c r="D756">
        <v>2</v>
      </c>
      <c r="E756" s="27">
        <v>225.64</v>
      </c>
      <c r="F756" s="28">
        <v>0.15</v>
      </c>
      <c r="G756" s="27">
        <v>383.59</v>
      </c>
      <c r="H756" s="27">
        <v>76.72</v>
      </c>
      <c r="I756" s="27">
        <v>460.31</v>
      </c>
    </row>
    <row r="757" ht="15" customHeight="1" spans="1:9">
      <c r="A757" t="s">
        <v>1725</v>
      </c>
      <c r="B757" t="s">
        <v>867</v>
      </c>
      <c r="C757" t="s">
        <v>467</v>
      </c>
      <c r="D757">
        <v>1</v>
      </c>
      <c r="E757" s="27">
        <v>49.53</v>
      </c>
      <c r="F757" s="28">
        <v>0</v>
      </c>
      <c r="G757" s="27">
        <v>49.53</v>
      </c>
      <c r="H757" s="27">
        <v>9.91</v>
      </c>
      <c r="I757" s="27">
        <v>59.44</v>
      </c>
    </row>
    <row r="758" ht="15" customHeight="1" spans="1:9">
      <c r="A758" t="s">
        <v>1726</v>
      </c>
      <c r="B758" t="s">
        <v>868</v>
      </c>
      <c r="C758" t="s">
        <v>417</v>
      </c>
      <c r="D758">
        <v>2</v>
      </c>
      <c r="E758" s="27">
        <v>59.79</v>
      </c>
      <c r="F758" s="28">
        <v>0.15</v>
      </c>
      <c r="G758" s="27">
        <v>101.64</v>
      </c>
      <c r="H758" s="27">
        <v>20.33</v>
      </c>
      <c r="I758" s="27">
        <v>121.97</v>
      </c>
    </row>
    <row r="759" ht="15" customHeight="1" spans="1:9">
      <c r="A759" t="s">
        <v>1727</v>
      </c>
      <c r="B759" t="s">
        <v>868</v>
      </c>
      <c r="C759" t="s">
        <v>391</v>
      </c>
      <c r="D759">
        <v>1</v>
      </c>
      <c r="E759" s="27">
        <v>138.13</v>
      </c>
      <c r="F759" s="28">
        <v>0</v>
      </c>
      <c r="G759" s="27">
        <v>138.13</v>
      </c>
      <c r="H759" s="27">
        <v>27.63</v>
      </c>
      <c r="I759" s="27">
        <v>165.76</v>
      </c>
    </row>
    <row r="760" ht="15" customHeight="1" spans="1:9">
      <c r="A760" t="s">
        <v>1728</v>
      </c>
      <c r="B760" t="s">
        <v>868</v>
      </c>
      <c r="C760" t="s">
        <v>396</v>
      </c>
      <c r="D760">
        <v>3</v>
      </c>
      <c r="E760" s="27">
        <v>225.64</v>
      </c>
      <c r="F760" s="28">
        <v>0</v>
      </c>
      <c r="G760" s="27">
        <v>676.92</v>
      </c>
      <c r="H760" s="27">
        <v>135.38</v>
      </c>
      <c r="I760" s="27">
        <v>812.3</v>
      </c>
    </row>
    <row r="761" ht="15" customHeight="1" spans="1:9">
      <c r="A761" t="s">
        <v>1729</v>
      </c>
      <c r="B761" t="s">
        <v>869</v>
      </c>
      <c r="C761" t="s">
        <v>398</v>
      </c>
      <c r="D761">
        <v>1</v>
      </c>
      <c r="E761" s="27">
        <v>383.91</v>
      </c>
      <c r="F761" s="28">
        <v>0</v>
      </c>
      <c r="G761" s="27">
        <v>383.91</v>
      </c>
      <c r="H761" s="27">
        <v>76.78</v>
      </c>
      <c r="I761" s="27">
        <v>460.69</v>
      </c>
    </row>
    <row r="762" ht="15" customHeight="1" spans="1:9">
      <c r="A762" t="s">
        <v>1730</v>
      </c>
      <c r="B762" t="s">
        <v>869</v>
      </c>
      <c r="C762" t="s">
        <v>366</v>
      </c>
      <c r="D762">
        <v>2</v>
      </c>
      <c r="E762" s="27">
        <v>1103.64</v>
      </c>
      <c r="F762" s="28">
        <v>0.05</v>
      </c>
      <c r="G762" s="27">
        <v>2096.92</v>
      </c>
      <c r="H762" s="27">
        <v>419.38</v>
      </c>
      <c r="I762" s="27">
        <v>2516.3</v>
      </c>
    </row>
    <row r="763" ht="15" customHeight="1" spans="1:9">
      <c r="A763" t="s">
        <v>1731</v>
      </c>
      <c r="B763" t="s">
        <v>869</v>
      </c>
      <c r="C763" t="s">
        <v>444</v>
      </c>
      <c r="D763">
        <v>3</v>
      </c>
      <c r="E763" s="27">
        <v>442.3</v>
      </c>
      <c r="F763" s="28">
        <v>0.1</v>
      </c>
      <c r="G763" s="27">
        <v>1194.21</v>
      </c>
      <c r="H763" s="27">
        <v>238.84</v>
      </c>
      <c r="I763" s="27">
        <v>1433.05</v>
      </c>
    </row>
    <row r="764" ht="15" customHeight="1" spans="1:9">
      <c r="A764" t="s">
        <v>1732</v>
      </c>
      <c r="B764" t="s">
        <v>869</v>
      </c>
      <c r="C764" t="s">
        <v>438</v>
      </c>
      <c r="D764">
        <v>1</v>
      </c>
      <c r="E764" s="27">
        <v>295.97</v>
      </c>
      <c r="F764" s="28">
        <v>0.1</v>
      </c>
      <c r="G764" s="27">
        <v>266.37</v>
      </c>
      <c r="H764" s="27">
        <v>53.27</v>
      </c>
      <c r="I764" s="27">
        <v>319.64</v>
      </c>
    </row>
    <row r="765" ht="15" customHeight="1" spans="1:9">
      <c r="A765" t="s">
        <v>1733</v>
      </c>
      <c r="B765" t="s">
        <v>870</v>
      </c>
      <c r="C765" t="s">
        <v>408</v>
      </c>
      <c r="D765">
        <v>2</v>
      </c>
      <c r="E765" s="27">
        <v>19.65</v>
      </c>
      <c r="F765" s="28">
        <v>0.1</v>
      </c>
      <c r="G765" s="27">
        <v>35.37</v>
      </c>
      <c r="H765" s="27">
        <v>7.07</v>
      </c>
      <c r="I765" s="27">
        <v>42.44</v>
      </c>
    </row>
    <row r="766" ht="15" customHeight="1" spans="1:9">
      <c r="A766" t="s">
        <v>1734</v>
      </c>
      <c r="B766" t="s">
        <v>870</v>
      </c>
      <c r="C766" t="s">
        <v>400</v>
      </c>
      <c r="D766">
        <v>1</v>
      </c>
      <c r="E766" s="27">
        <v>328.03</v>
      </c>
      <c r="F766" s="28">
        <v>0</v>
      </c>
      <c r="G766" s="27">
        <v>328.03</v>
      </c>
      <c r="H766" s="27">
        <v>65.61</v>
      </c>
      <c r="I766" s="27">
        <v>393.64</v>
      </c>
    </row>
    <row r="767" ht="15" customHeight="1" spans="1:9">
      <c r="A767" t="s">
        <v>1735</v>
      </c>
      <c r="B767" t="s">
        <v>870</v>
      </c>
      <c r="C767" t="s">
        <v>374</v>
      </c>
      <c r="D767">
        <v>2</v>
      </c>
      <c r="E767" s="27">
        <v>251.56</v>
      </c>
      <c r="F767" s="28">
        <v>0</v>
      </c>
      <c r="G767" s="27">
        <v>503.12</v>
      </c>
      <c r="H767" s="27">
        <v>100.62</v>
      </c>
      <c r="I767" s="27">
        <v>603.74</v>
      </c>
    </row>
    <row r="768" ht="15" customHeight="1" spans="1:9">
      <c r="A768" t="s">
        <v>1736</v>
      </c>
      <c r="B768" t="s">
        <v>870</v>
      </c>
      <c r="C768" t="s">
        <v>391</v>
      </c>
      <c r="D768">
        <v>4</v>
      </c>
      <c r="E768" s="27">
        <v>138.13</v>
      </c>
      <c r="F768" s="28">
        <v>0.15</v>
      </c>
      <c r="G768" s="27">
        <v>469.64</v>
      </c>
      <c r="H768" s="27">
        <v>93.93</v>
      </c>
      <c r="I768" s="27">
        <v>563.57</v>
      </c>
    </row>
    <row r="769" ht="15" customHeight="1" spans="1:9">
      <c r="A769" t="s">
        <v>1737</v>
      </c>
      <c r="B769" t="s">
        <v>871</v>
      </c>
      <c r="C769" t="s">
        <v>396</v>
      </c>
      <c r="D769">
        <v>1</v>
      </c>
      <c r="E769" s="27">
        <v>225.64</v>
      </c>
      <c r="F769" s="28">
        <v>0</v>
      </c>
      <c r="G769" s="27">
        <v>225.64</v>
      </c>
      <c r="H769" s="27">
        <v>45.13</v>
      </c>
      <c r="I769" s="27">
        <v>270.77</v>
      </c>
    </row>
    <row r="770" ht="15" customHeight="1" spans="1:9">
      <c r="A770" t="s">
        <v>1738</v>
      </c>
      <c r="B770" t="s">
        <v>872</v>
      </c>
      <c r="C770" t="s">
        <v>412</v>
      </c>
      <c r="D770">
        <v>1</v>
      </c>
      <c r="E770" s="27">
        <v>114.1</v>
      </c>
      <c r="F770" s="28">
        <v>0.05</v>
      </c>
      <c r="G770" s="27">
        <v>108.39</v>
      </c>
      <c r="H770" s="27">
        <v>21.68</v>
      </c>
      <c r="I770" s="27">
        <v>130.07</v>
      </c>
    </row>
    <row r="771" ht="15" customHeight="1" spans="1:9">
      <c r="A771" t="s">
        <v>1739</v>
      </c>
      <c r="B771" t="s">
        <v>873</v>
      </c>
      <c r="C771" t="s">
        <v>408</v>
      </c>
      <c r="D771">
        <v>1</v>
      </c>
      <c r="E771" s="27">
        <v>19.65</v>
      </c>
      <c r="F771" s="28">
        <v>0.05</v>
      </c>
      <c r="G771" s="27">
        <v>18.67</v>
      </c>
      <c r="H771" s="27">
        <v>3.73</v>
      </c>
      <c r="I771" s="27">
        <v>22.4</v>
      </c>
    </row>
    <row r="772" ht="15" customHeight="1" spans="1:9">
      <c r="A772" t="s">
        <v>1740</v>
      </c>
      <c r="B772" t="s">
        <v>873</v>
      </c>
      <c r="C772" t="s">
        <v>442</v>
      </c>
      <c r="D772">
        <v>1</v>
      </c>
      <c r="E772" s="27">
        <v>374.59</v>
      </c>
      <c r="F772" s="28">
        <v>0</v>
      </c>
      <c r="G772" s="27">
        <v>374.59</v>
      </c>
      <c r="H772" s="27">
        <v>74.92</v>
      </c>
      <c r="I772" s="27">
        <v>449.51</v>
      </c>
    </row>
    <row r="773" ht="15" customHeight="1" spans="1:9">
      <c r="A773" t="s">
        <v>1741</v>
      </c>
      <c r="B773" t="s">
        <v>873</v>
      </c>
      <c r="C773" t="s">
        <v>454</v>
      </c>
      <c r="D773">
        <v>1</v>
      </c>
      <c r="E773" s="27">
        <v>375.86</v>
      </c>
      <c r="F773" s="28">
        <v>0.1</v>
      </c>
      <c r="G773" s="27">
        <v>338.27</v>
      </c>
      <c r="H773" s="27">
        <v>67.65</v>
      </c>
      <c r="I773" s="27">
        <v>405.92</v>
      </c>
    </row>
    <row r="774" ht="15" customHeight="1" spans="1:9">
      <c r="A774" t="s">
        <v>1742</v>
      </c>
      <c r="B774" t="s">
        <v>874</v>
      </c>
      <c r="C774" t="s">
        <v>414</v>
      </c>
      <c r="D774">
        <v>1</v>
      </c>
      <c r="E774" s="27">
        <v>63.96</v>
      </c>
      <c r="F774" s="28">
        <v>0.1</v>
      </c>
      <c r="G774" s="27">
        <v>57.56</v>
      </c>
      <c r="H774" s="27">
        <v>11.51</v>
      </c>
      <c r="I774" s="27">
        <v>69.07</v>
      </c>
    </row>
    <row r="775" ht="15" customHeight="1" spans="1:9">
      <c r="A775" t="s">
        <v>1743</v>
      </c>
      <c r="B775" t="s">
        <v>874</v>
      </c>
      <c r="C775" t="s">
        <v>454</v>
      </c>
      <c r="D775">
        <v>1</v>
      </c>
      <c r="E775" s="27">
        <v>375.86</v>
      </c>
      <c r="F775" s="28">
        <v>0</v>
      </c>
      <c r="G775" s="27">
        <v>375.86</v>
      </c>
      <c r="H775" s="27">
        <v>75.17</v>
      </c>
      <c r="I775" s="27">
        <v>451.03</v>
      </c>
    </row>
    <row r="776" ht="15" customHeight="1" spans="1:9">
      <c r="A776" t="s">
        <v>1744</v>
      </c>
      <c r="B776" t="s">
        <v>875</v>
      </c>
      <c r="C776" t="s">
        <v>398</v>
      </c>
      <c r="D776">
        <v>1</v>
      </c>
      <c r="E776" s="27">
        <v>383.91</v>
      </c>
      <c r="F776" s="28">
        <v>0</v>
      </c>
      <c r="G776" s="27">
        <v>383.91</v>
      </c>
      <c r="H776" s="27">
        <v>76.78</v>
      </c>
      <c r="I776" s="27">
        <v>460.69</v>
      </c>
    </row>
    <row r="777" ht="15" customHeight="1" spans="1:9">
      <c r="A777" t="s">
        <v>1745</v>
      </c>
      <c r="B777" t="s">
        <v>875</v>
      </c>
      <c r="C777" t="s">
        <v>433</v>
      </c>
      <c r="D777">
        <v>2</v>
      </c>
      <c r="E777" s="27">
        <v>58.14</v>
      </c>
      <c r="F777" s="28">
        <v>0</v>
      </c>
      <c r="G777" s="27">
        <v>116.28</v>
      </c>
      <c r="H777" s="27">
        <v>23.26</v>
      </c>
      <c r="I777" s="27">
        <v>139.54</v>
      </c>
    </row>
    <row r="778" ht="15" customHeight="1" spans="1:9">
      <c r="A778" t="s">
        <v>1746</v>
      </c>
      <c r="B778" t="s">
        <v>875</v>
      </c>
      <c r="C778" t="s">
        <v>471</v>
      </c>
      <c r="D778">
        <v>3</v>
      </c>
      <c r="E778" s="27">
        <v>35.83</v>
      </c>
      <c r="F778" s="28">
        <v>0.1</v>
      </c>
      <c r="G778" s="27">
        <v>96.74</v>
      </c>
      <c r="H778" s="27">
        <v>19.35</v>
      </c>
      <c r="I778" s="27">
        <v>116.09</v>
      </c>
    </row>
    <row r="779" ht="15" customHeight="1" spans="1:9">
      <c r="A779" t="s">
        <v>1747</v>
      </c>
      <c r="B779" t="s">
        <v>876</v>
      </c>
      <c r="C779" t="s">
        <v>465</v>
      </c>
      <c r="D779">
        <v>1</v>
      </c>
      <c r="E779" s="27">
        <v>44.16</v>
      </c>
      <c r="F779" s="28">
        <v>0</v>
      </c>
      <c r="G779" s="27">
        <v>44.16</v>
      </c>
      <c r="H779" s="27">
        <v>8.83</v>
      </c>
      <c r="I779" s="27">
        <v>52.99</v>
      </c>
    </row>
    <row r="780" ht="15" customHeight="1" spans="1:9">
      <c r="A780" t="s">
        <v>1748</v>
      </c>
      <c r="B780" t="s">
        <v>876</v>
      </c>
      <c r="C780" t="s">
        <v>412</v>
      </c>
      <c r="D780">
        <v>1</v>
      </c>
      <c r="E780" s="27">
        <v>114.1</v>
      </c>
      <c r="F780" s="28">
        <v>0.1</v>
      </c>
      <c r="G780" s="27">
        <v>102.69</v>
      </c>
      <c r="H780" s="27">
        <v>20.54</v>
      </c>
      <c r="I780" s="27">
        <v>123.23</v>
      </c>
    </row>
    <row r="781" ht="15" customHeight="1" spans="1:9">
      <c r="A781" t="s">
        <v>1749</v>
      </c>
      <c r="B781" t="s">
        <v>877</v>
      </c>
      <c r="C781" t="s">
        <v>454</v>
      </c>
      <c r="D781">
        <v>8</v>
      </c>
      <c r="E781" s="27">
        <v>375.86</v>
      </c>
      <c r="F781" s="28">
        <v>0</v>
      </c>
      <c r="G781" s="27">
        <v>3006.88</v>
      </c>
      <c r="H781" s="27">
        <v>601.38</v>
      </c>
      <c r="I781" s="27">
        <v>3608.26</v>
      </c>
    </row>
    <row r="782" ht="15" customHeight="1" spans="1:9">
      <c r="A782" t="s">
        <v>1750</v>
      </c>
      <c r="B782" t="s">
        <v>877</v>
      </c>
      <c r="C782" t="s">
        <v>398</v>
      </c>
      <c r="D782">
        <v>1</v>
      </c>
      <c r="E782" s="27">
        <v>383.91</v>
      </c>
      <c r="F782" s="28">
        <v>0</v>
      </c>
      <c r="G782" s="27">
        <v>383.91</v>
      </c>
      <c r="H782" s="27">
        <v>76.78</v>
      </c>
      <c r="I782" s="27">
        <v>460.69</v>
      </c>
    </row>
    <row r="783" ht="15" customHeight="1" spans="1:9">
      <c r="A783" t="s">
        <v>1751</v>
      </c>
      <c r="B783" t="s">
        <v>877</v>
      </c>
      <c r="C783" t="s">
        <v>463</v>
      </c>
      <c r="D783">
        <v>2</v>
      </c>
      <c r="E783" s="27">
        <v>73.02</v>
      </c>
      <c r="F783" s="28">
        <v>0.05</v>
      </c>
      <c r="G783" s="27">
        <v>138.74</v>
      </c>
      <c r="H783" s="27">
        <v>27.75</v>
      </c>
      <c r="I783" s="27">
        <v>166.49</v>
      </c>
    </row>
    <row r="784" ht="15" customHeight="1" spans="1:9">
      <c r="A784" t="s">
        <v>1752</v>
      </c>
      <c r="B784" t="s">
        <v>878</v>
      </c>
      <c r="C784" t="s">
        <v>427</v>
      </c>
      <c r="D784">
        <v>5</v>
      </c>
      <c r="E784" s="27">
        <v>25.25</v>
      </c>
      <c r="F784" s="28">
        <v>0</v>
      </c>
      <c r="G784" s="27">
        <v>126.25</v>
      </c>
      <c r="H784" s="27">
        <v>25.25</v>
      </c>
      <c r="I784" s="27">
        <v>151.5</v>
      </c>
    </row>
    <row r="785" ht="15" customHeight="1" spans="1:9">
      <c r="A785" t="s">
        <v>1753</v>
      </c>
      <c r="B785" t="s">
        <v>878</v>
      </c>
      <c r="C785" t="s">
        <v>442</v>
      </c>
      <c r="D785">
        <v>1</v>
      </c>
      <c r="E785" s="27">
        <v>374.59</v>
      </c>
      <c r="F785" s="28">
        <v>0.15</v>
      </c>
      <c r="G785" s="27">
        <v>318.4</v>
      </c>
      <c r="H785" s="27">
        <v>63.68</v>
      </c>
      <c r="I785" s="27">
        <v>382.08</v>
      </c>
    </row>
    <row r="786" ht="15" customHeight="1" spans="1:9">
      <c r="A786" t="s">
        <v>1754</v>
      </c>
      <c r="B786" t="s">
        <v>879</v>
      </c>
      <c r="C786" t="s">
        <v>391</v>
      </c>
      <c r="D786">
        <v>1</v>
      </c>
      <c r="E786" s="27">
        <v>138.13</v>
      </c>
      <c r="F786" s="28">
        <v>0</v>
      </c>
      <c r="G786" s="27">
        <v>138.13</v>
      </c>
      <c r="H786" s="27">
        <v>27.63</v>
      </c>
      <c r="I786" s="27">
        <v>165.76</v>
      </c>
    </row>
    <row r="787" ht="15" customHeight="1" spans="1:9">
      <c r="A787" t="s">
        <v>1755</v>
      </c>
      <c r="B787" t="s">
        <v>880</v>
      </c>
      <c r="C787" t="s">
        <v>473</v>
      </c>
      <c r="D787">
        <v>1</v>
      </c>
      <c r="E787" s="27">
        <v>40.73</v>
      </c>
      <c r="F787" s="28">
        <v>0</v>
      </c>
      <c r="G787" s="27">
        <v>40.73</v>
      </c>
      <c r="H787" s="27">
        <v>8.15</v>
      </c>
      <c r="I787" s="27">
        <v>48.88</v>
      </c>
    </row>
    <row r="788" ht="15" customHeight="1" spans="1:9">
      <c r="A788" t="s">
        <v>1756</v>
      </c>
      <c r="B788" t="s">
        <v>880</v>
      </c>
      <c r="C788" t="s">
        <v>467</v>
      </c>
      <c r="D788">
        <v>1</v>
      </c>
      <c r="E788" s="27">
        <v>49.53</v>
      </c>
      <c r="F788" s="28">
        <v>0.05</v>
      </c>
      <c r="G788" s="27">
        <v>47.05</v>
      </c>
      <c r="H788" s="27">
        <v>9.41</v>
      </c>
      <c r="I788" s="27">
        <v>56.46</v>
      </c>
    </row>
    <row r="789" ht="15" customHeight="1" spans="1:9">
      <c r="A789" t="s">
        <v>1757</v>
      </c>
      <c r="B789" t="s">
        <v>881</v>
      </c>
      <c r="C789" t="s">
        <v>396</v>
      </c>
      <c r="D789">
        <v>1</v>
      </c>
      <c r="E789" s="27">
        <v>225.64</v>
      </c>
      <c r="F789" s="28">
        <v>0</v>
      </c>
      <c r="G789" s="27">
        <v>225.64</v>
      </c>
      <c r="H789" s="27">
        <v>45.13</v>
      </c>
      <c r="I789" s="27">
        <v>270.77</v>
      </c>
    </row>
    <row r="790" ht="15" customHeight="1" spans="1:9">
      <c r="A790" t="s">
        <v>1758</v>
      </c>
      <c r="B790" t="s">
        <v>881</v>
      </c>
      <c r="C790" t="s">
        <v>475</v>
      </c>
      <c r="D790">
        <v>1</v>
      </c>
      <c r="E790" s="27">
        <v>42</v>
      </c>
      <c r="F790" s="28">
        <v>0</v>
      </c>
      <c r="G790" s="27">
        <v>42</v>
      </c>
      <c r="H790" s="27">
        <v>8.4</v>
      </c>
      <c r="I790" s="27">
        <v>50.4</v>
      </c>
    </row>
    <row r="791" ht="15" customHeight="1" spans="1:9">
      <c r="A791" t="s">
        <v>1759</v>
      </c>
      <c r="B791" t="s">
        <v>882</v>
      </c>
      <c r="C791" t="s">
        <v>435</v>
      </c>
      <c r="D791">
        <v>3</v>
      </c>
      <c r="E791" s="27">
        <v>262.34</v>
      </c>
      <c r="F791" s="28">
        <v>0.1</v>
      </c>
      <c r="G791" s="27">
        <v>708.32</v>
      </c>
      <c r="H791" s="27">
        <v>141.66</v>
      </c>
      <c r="I791" s="27">
        <v>849.98</v>
      </c>
    </row>
    <row r="792" ht="15" customHeight="1" spans="1:9">
      <c r="A792" t="s">
        <v>1760</v>
      </c>
      <c r="B792" t="s">
        <v>882</v>
      </c>
      <c r="C792" t="s">
        <v>412</v>
      </c>
      <c r="D792">
        <v>3</v>
      </c>
      <c r="E792" s="27">
        <v>114.1</v>
      </c>
      <c r="F792" s="28">
        <v>0</v>
      </c>
      <c r="G792" s="27">
        <v>342.3</v>
      </c>
      <c r="H792" s="27">
        <v>68.46</v>
      </c>
      <c r="I792" s="27">
        <v>410.76</v>
      </c>
    </row>
    <row r="793" ht="15" customHeight="1" spans="1:9">
      <c r="A793" t="s">
        <v>1761</v>
      </c>
      <c r="B793" t="s">
        <v>883</v>
      </c>
      <c r="C793" t="s">
        <v>442</v>
      </c>
      <c r="D793">
        <v>1</v>
      </c>
      <c r="E793" s="27">
        <v>374.59</v>
      </c>
      <c r="F793" s="28">
        <v>0</v>
      </c>
      <c r="G793" s="27">
        <v>374.59</v>
      </c>
      <c r="H793" s="27">
        <v>74.92</v>
      </c>
      <c r="I793" s="27">
        <v>449.51</v>
      </c>
    </row>
    <row r="794" ht="15" customHeight="1" spans="1:9">
      <c r="A794" t="s">
        <v>1762</v>
      </c>
      <c r="B794" t="s">
        <v>883</v>
      </c>
      <c r="C794" t="s">
        <v>372</v>
      </c>
      <c r="D794">
        <v>2</v>
      </c>
      <c r="E794" s="27">
        <v>216.77</v>
      </c>
      <c r="F794" s="28">
        <v>0.1</v>
      </c>
      <c r="G794" s="27">
        <v>390.19</v>
      </c>
      <c r="H794" s="27">
        <v>78.04</v>
      </c>
      <c r="I794" s="27">
        <v>468.23</v>
      </c>
    </row>
    <row r="795" ht="15" customHeight="1" spans="1:9">
      <c r="A795" t="s">
        <v>1763</v>
      </c>
      <c r="B795" t="s">
        <v>884</v>
      </c>
      <c r="C795" t="s">
        <v>412</v>
      </c>
      <c r="D795">
        <v>2</v>
      </c>
      <c r="E795" s="27">
        <v>114.1</v>
      </c>
      <c r="F795" s="28">
        <v>0</v>
      </c>
      <c r="G795" s="27">
        <v>228.2</v>
      </c>
      <c r="H795" s="27">
        <v>45.64</v>
      </c>
      <c r="I795" s="27">
        <v>273.84</v>
      </c>
    </row>
    <row r="796" ht="15" customHeight="1" spans="1:9">
      <c r="A796" t="s">
        <v>1764</v>
      </c>
      <c r="B796" t="s">
        <v>884</v>
      </c>
      <c r="C796" t="s">
        <v>414</v>
      </c>
      <c r="D796">
        <v>1</v>
      </c>
      <c r="E796" s="27">
        <v>63.96</v>
      </c>
      <c r="F796" s="28">
        <v>0</v>
      </c>
      <c r="G796" s="27">
        <v>63.96</v>
      </c>
      <c r="H796" s="27">
        <v>12.79</v>
      </c>
      <c r="I796" s="27">
        <v>76.75</v>
      </c>
    </row>
    <row r="797" ht="15" customHeight="1" spans="1:9">
      <c r="A797" t="s">
        <v>1765</v>
      </c>
      <c r="B797" t="s">
        <v>885</v>
      </c>
      <c r="C797" t="s">
        <v>387</v>
      </c>
      <c r="D797">
        <v>1</v>
      </c>
      <c r="E797" s="27">
        <v>37.91</v>
      </c>
      <c r="F797" s="28">
        <v>0.1</v>
      </c>
      <c r="G797" s="27">
        <v>34.12</v>
      </c>
      <c r="H797" s="27">
        <v>6.82</v>
      </c>
      <c r="I797" s="27">
        <v>40.94</v>
      </c>
    </row>
    <row r="798" ht="15" customHeight="1" spans="1:9">
      <c r="A798" t="s">
        <v>1766</v>
      </c>
      <c r="B798" t="s">
        <v>886</v>
      </c>
      <c r="C798" t="s">
        <v>467</v>
      </c>
      <c r="D798">
        <v>3</v>
      </c>
      <c r="E798" s="27">
        <v>49.53</v>
      </c>
      <c r="F798" s="28">
        <v>0.1</v>
      </c>
      <c r="G798" s="27">
        <v>133.73</v>
      </c>
      <c r="H798" s="27">
        <v>26.75</v>
      </c>
      <c r="I798" s="27">
        <v>160.48</v>
      </c>
    </row>
    <row r="799" ht="15" customHeight="1" spans="1:9">
      <c r="A799" t="s">
        <v>1767</v>
      </c>
      <c r="B799" t="s">
        <v>887</v>
      </c>
      <c r="C799" t="s">
        <v>370</v>
      </c>
      <c r="D799">
        <v>2</v>
      </c>
      <c r="E799" s="27">
        <v>970.58</v>
      </c>
      <c r="F799" s="28">
        <v>0.15</v>
      </c>
      <c r="G799" s="27">
        <v>1649.99</v>
      </c>
      <c r="H799" s="27">
        <v>330</v>
      </c>
      <c r="I799" s="27">
        <v>1979.99</v>
      </c>
    </row>
    <row r="800" ht="15" customHeight="1" spans="1:9">
      <c r="A800" t="s">
        <v>1768</v>
      </c>
      <c r="B800" t="s">
        <v>888</v>
      </c>
      <c r="C800" t="s">
        <v>450</v>
      </c>
      <c r="D800">
        <v>2</v>
      </c>
      <c r="E800" s="27">
        <v>538.29</v>
      </c>
      <c r="F800" s="28">
        <v>0.15</v>
      </c>
      <c r="G800" s="27">
        <v>915.09</v>
      </c>
      <c r="H800" s="27">
        <v>183.02</v>
      </c>
      <c r="I800" s="27">
        <v>1098.11</v>
      </c>
    </row>
    <row r="801" ht="15" customHeight="1" spans="1:9">
      <c r="A801" t="s">
        <v>1769</v>
      </c>
      <c r="B801" t="s">
        <v>888</v>
      </c>
      <c r="C801" t="s">
        <v>465</v>
      </c>
      <c r="D801">
        <v>1</v>
      </c>
      <c r="E801" s="27">
        <v>44.16</v>
      </c>
      <c r="F801" s="28">
        <v>0</v>
      </c>
      <c r="G801" s="27">
        <v>44.16</v>
      </c>
      <c r="H801" s="27">
        <v>8.83</v>
      </c>
      <c r="I801" s="27">
        <v>52.99</v>
      </c>
    </row>
    <row r="802" ht="15" customHeight="1" spans="1:9">
      <c r="A802" t="s">
        <v>1770</v>
      </c>
      <c r="B802" t="s">
        <v>888</v>
      </c>
      <c r="C802" t="s">
        <v>412</v>
      </c>
      <c r="D802">
        <v>1</v>
      </c>
      <c r="E802" s="27">
        <v>114.1</v>
      </c>
      <c r="F802" s="28">
        <v>0</v>
      </c>
      <c r="G802" s="27">
        <v>114.1</v>
      </c>
      <c r="H802" s="27">
        <v>22.82</v>
      </c>
      <c r="I802" s="27">
        <v>136.92</v>
      </c>
    </row>
    <row r="803" ht="15" customHeight="1" spans="1:9">
      <c r="A803" t="s">
        <v>1771</v>
      </c>
      <c r="B803" t="s">
        <v>889</v>
      </c>
      <c r="C803" t="s">
        <v>465</v>
      </c>
      <c r="D803">
        <v>2</v>
      </c>
      <c r="E803" s="27">
        <v>44.16</v>
      </c>
      <c r="F803" s="28">
        <v>0.05</v>
      </c>
      <c r="G803" s="27">
        <v>83.9</v>
      </c>
      <c r="H803" s="27">
        <v>16.78</v>
      </c>
      <c r="I803" s="27">
        <v>100.68</v>
      </c>
    </row>
    <row r="804" ht="15" customHeight="1" spans="1:9">
      <c r="A804" t="s">
        <v>1772</v>
      </c>
      <c r="B804" t="s">
        <v>890</v>
      </c>
      <c r="C804" t="s">
        <v>454</v>
      </c>
      <c r="D804">
        <v>1</v>
      </c>
      <c r="E804" s="27">
        <v>375.86</v>
      </c>
      <c r="F804" s="28">
        <v>0</v>
      </c>
      <c r="G804" s="27">
        <v>375.86</v>
      </c>
      <c r="H804" s="27">
        <v>75.17</v>
      </c>
      <c r="I804" s="27">
        <v>451.03</v>
      </c>
    </row>
    <row r="805" ht="15" customHeight="1" spans="1:9">
      <c r="A805" t="s">
        <v>1773</v>
      </c>
      <c r="B805" t="s">
        <v>890</v>
      </c>
      <c r="C805" t="s">
        <v>425</v>
      </c>
      <c r="D805">
        <v>1</v>
      </c>
      <c r="E805" s="27">
        <v>36.08</v>
      </c>
      <c r="F805" s="28">
        <v>0.15</v>
      </c>
      <c r="G805" s="27">
        <v>30.67</v>
      </c>
      <c r="H805" s="27">
        <v>6.13</v>
      </c>
      <c r="I805" s="27">
        <v>36.8</v>
      </c>
    </row>
    <row r="806" ht="15" customHeight="1" spans="1:9">
      <c r="A806" t="s">
        <v>1774</v>
      </c>
      <c r="B806" t="s">
        <v>890</v>
      </c>
      <c r="C806" t="s">
        <v>417</v>
      </c>
      <c r="D806">
        <v>3</v>
      </c>
      <c r="E806" s="27">
        <v>59.79</v>
      </c>
      <c r="F806" s="28">
        <v>0</v>
      </c>
      <c r="G806" s="27">
        <v>179.37</v>
      </c>
      <c r="H806" s="27">
        <v>35.87</v>
      </c>
      <c r="I806" s="27">
        <v>215.24</v>
      </c>
    </row>
    <row r="807" ht="15" customHeight="1" spans="1:9">
      <c r="A807" t="s">
        <v>1775</v>
      </c>
      <c r="B807" t="s">
        <v>890</v>
      </c>
      <c r="C807" t="s">
        <v>433</v>
      </c>
      <c r="D807">
        <v>2</v>
      </c>
      <c r="E807" s="27">
        <v>58.14</v>
      </c>
      <c r="F807" s="28">
        <v>0</v>
      </c>
      <c r="G807" s="27">
        <v>116.28</v>
      </c>
      <c r="H807" s="27">
        <v>23.26</v>
      </c>
      <c r="I807" s="27">
        <v>139.54</v>
      </c>
    </row>
    <row r="808" ht="15" customHeight="1" spans="1:9">
      <c r="A808" t="s">
        <v>1776</v>
      </c>
      <c r="B808" t="s">
        <v>891</v>
      </c>
      <c r="C808" t="s">
        <v>452</v>
      </c>
      <c r="D808">
        <v>2</v>
      </c>
      <c r="E808" s="27">
        <v>381.57</v>
      </c>
      <c r="F808" s="28">
        <v>0.1</v>
      </c>
      <c r="G808" s="27">
        <v>686.83</v>
      </c>
      <c r="H808" s="27">
        <v>137.37</v>
      </c>
      <c r="I808" s="27">
        <v>824.2</v>
      </c>
    </row>
    <row r="809" ht="15" customHeight="1" spans="1:9">
      <c r="A809" t="s">
        <v>1777</v>
      </c>
      <c r="B809" t="s">
        <v>891</v>
      </c>
      <c r="C809" t="s">
        <v>383</v>
      </c>
      <c r="D809">
        <v>1</v>
      </c>
      <c r="E809" s="27">
        <v>39.08</v>
      </c>
      <c r="F809" s="28">
        <v>0.15</v>
      </c>
      <c r="G809" s="27">
        <v>33.22</v>
      </c>
      <c r="H809" s="27">
        <v>6.64</v>
      </c>
      <c r="I809" s="27">
        <v>39.86</v>
      </c>
    </row>
    <row r="810" ht="15" customHeight="1" spans="1:9">
      <c r="A810" t="s">
        <v>1778</v>
      </c>
      <c r="B810" t="s">
        <v>891</v>
      </c>
      <c r="C810" t="s">
        <v>383</v>
      </c>
      <c r="D810">
        <v>1</v>
      </c>
      <c r="E810" s="27">
        <v>39.08</v>
      </c>
      <c r="F810" s="28">
        <v>0.15</v>
      </c>
      <c r="G810" s="27">
        <v>33.22</v>
      </c>
      <c r="H810" s="27">
        <v>6.64</v>
      </c>
      <c r="I810" s="27">
        <v>39.86</v>
      </c>
    </row>
    <row r="811" ht="15" customHeight="1" spans="1:9">
      <c r="A811" t="s">
        <v>1779</v>
      </c>
      <c r="B811" t="s">
        <v>892</v>
      </c>
      <c r="C811" t="s">
        <v>446</v>
      </c>
      <c r="D811">
        <v>1</v>
      </c>
      <c r="E811" s="27">
        <v>454.43</v>
      </c>
      <c r="F811" s="28">
        <v>0.05</v>
      </c>
      <c r="G811" s="27">
        <v>431.71</v>
      </c>
      <c r="H811" s="27">
        <v>86.34</v>
      </c>
      <c r="I811" s="27">
        <v>518.05</v>
      </c>
    </row>
    <row r="812" ht="15" customHeight="1" spans="1:9">
      <c r="A812" t="s">
        <v>1780</v>
      </c>
      <c r="B812" t="s">
        <v>892</v>
      </c>
      <c r="C812" t="s">
        <v>423</v>
      </c>
      <c r="D812">
        <v>1</v>
      </c>
      <c r="E812" s="27">
        <v>46.02</v>
      </c>
      <c r="F812" s="28">
        <v>0</v>
      </c>
      <c r="G812" s="27">
        <v>46.02</v>
      </c>
      <c r="H812" s="27">
        <v>9.2</v>
      </c>
      <c r="I812" s="27">
        <v>55.22</v>
      </c>
    </row>
    <row r="813" ht="15" customHeight="1" spans="1:9">
      <c r="A813" t="s">
        <v>1781</v>
      </c>
      <c r="B813" t="s">
        <v>893</v>
      </c>
      <c r="C813" t="s">
        <v>461</v>
      </c>
      <c r="D813">
        <v>1</v>
      </c>
      <c r="E813" s="27">
        <v>59.83</v>
      </c>
      <c r="F813" s="28">
        <v>0.15</v>
      </c>
      <c r="G813" s="27">
        <v>50.86</v>
      </c>
      <c r="H813" s="27">
        <v>10.17</v>
      </c>
      <c r="I813" s="27">
        <v>61.03</v>
      </c>
    </row>
    <row r="814" ht="15" customHeight="1" spans="1:9">
      <c r="A814" t="s">
        <v>1782</v>
      </c>
      <c r="B814" t="s">
        <v>894</v>
      </c>
      <c r="C814" t="s">
        <v>431</v>
      </c>
      <c r="D814">
        <v>1</v>
      </c>
      <c r="E814" s="27">
        <v>47.74</v>
      </c>
      <c r="F814" s="28">
        <v>0.05</v>
      </c>
      <c r="G814" s="27">
        <v>45.35</v>
      </c>
      <c r="H814" s="27">
        <v>9.07</v>
      </c>
      <c r="I814" s="27">
        <v>54.42</v>
      </c>
    </row>
    <row r="815" ht="15" customHeight="1" spans="1:9">
      <c r="A815" t="s">
        <v>1783</v>
      </c>
      <c r="B815" t="s">
        <v>894</v>
      </c>
      <c r="C815" t="s">
        <v>377</v>
      </c>
      <c r="D815">
        <v>2</v>
      </c>
      <c r="E815" s="27">
        <v>84.94</v>
      </c>
      <c r="F815" s="28">
        <v>0.15</v>
      </c>
      <c r="G815" s="27">
        <v>144.4</v>
      </c>
      <c r="H815" s="27">
        <v>28.88</v>
      </c>
      <c r="I815" s="27">
        <v>173.28</v>
      </c>
    </row>
    <row r="816" ht="15" customHeight="1" spans="1:9">
      <c r="A816" t="s">
        <v>1784</v>
      </c>
      <c r="B816" t="s">
        <v>895</v>
      </c>
      <c r="C816" t="s">
        <v>389</v>
      </c>
      <c r="D816">
        <v>4</v>
      </c>
      <c r="E816" s="27">
        <v>120.37</v>
      </c>
      <c r="F816" s="28">
        <v>0.15</v>
      </c>
      <c r="G816" s="27">
        <v>409.26</v>
      </c>
      <c r="H816" s="27">
        <v>81.85</v>
      </c>
      <c r="I816" s="27">
        <v>491.11</v>
      </c>
    </row>
    <row r="817" ht="15" customHeight="1" spans="1:9">
      <c r="A817" t="s">
        <v>1785</v>
      </c>
      <c r="B817" t="s">
        <v>896</v>
      </c>
      <c r="C817" t="s">
        <v>431</v>
      </c>
      <c r="D817">
        <v>1</v>
      </c>
      <c r="E817" s="27">
        <v>47.74</v>
      </c>
      <c r="F817" s="28">
        <v>0.15</v>
      </c>
      <c r="G817" s="27">
        <v>40.58</v>
      </c>
      <c r="H817" s="27">
        <v>8.12</v>
      </c>
      <c r="I817" s="27">
        <v>48.7</v>
      </c>
    </row>
    <row r="818" ht="15" customHeight="1" spans="1:9">
      <c r="A818" t="s">
        <v>1786</v>
      </c>
      <c r="B818" t="s">
        <v>896</v>
      </c>
      <c r="C818" t="s">
        <v>414</v>
      </c>
      <c r="D818">
        <v>1</v>
      </c>
      <c r="E818" s="27">
        <v>63.96</v>
      </c>
      <c r="F818" s="28">
        <v>0.15</v>
      </c>
      <c r="G818" s="27">
        <v>54.37</v>
      </c>
      <c r="H818" s="27">
        <v>10.87</v>
      </c>
      <c r="I818" s="27">
        <v>65.24</v>
      </c>
    </row>
    <row r="819" ht="15" customHeight="1" spans="1:9">
      <c r="A819" t="s">
        <v>1787</v>
      </c>
      <c r="B819" t="s">
        <v>897</v>
      </c>
      <c r="C819" t="s">
        <v>410</v>
      </c>
      <c r="D819">
        <v>1</v>
      </c>
      <c r="E819" s="27">
        <v>106.93</v>
      </c>
      <c r="F819" s="28">
        <v>0.1</v>
      </c>
      <c r="G819" s="27">
        <v>96.24</v>
      </c>
      <c r="H819" s="27">
        <v>19.25</v>
      </c>
      <c r="I819" s="27">
        <v>115.49</v>
      </c>
    </row>
    <row r="820" ht="15" customHeight="1" spans="1:9">
      <c r="A820" t="s">
        <v>1788</v>
      </c>
      <c r="B820" t="s">
        <v>897</v>
      </c>
      <c r="C820" t="s">
        <v>374</v>
      </c>
      <c r="D820">
        <v>1</v>
      </c>
      <c r="E820" s="27">
        <v>251.56</v>
      </c>
      <c r="F820" s="28">
        <v>0.1</v>
      </c>
      <c r="G820" s="27">
        <v>226.4</v>
      </c>
      <c r="H820" s="27">
        <v>45.28</v>
      </c>
      <c r="I820" s="27">
        <v>271.68</v>
      </c>
    </row>
    <row r="821" ht="15" customHeight="1" spans="1:9">
      <c r="A821" t="s">
        <v>1789</v>
      </c>
      <c r="B821" t="s">
        <v>897</v>
      </c>
      <c r="C821" t="s">
        <v>419</v>
      </c>
      <c r="D821">
        <v>1</v>
      </c>
      <c r="E821" s="27">
        <v>100.34</v>
      </c>
      <c r="F821" s="28">
        <v>0</v>
      </c>
      <c r="G821" s="27">
        <v>100.34</v>
      </c>
      <c r="H821" s="27">
        <v>20.07</v>
      </c>
      <c r="I821" s="27">
        <v>120.41</v>
      </c>
    </row>
    <row r="822" ht="15" customHeight="1" spans="1:9">
      <c r="A822" t="s">
        <v>1790</v>
      </c>
      <c r="B822" t="s">
        <v>898</v>
      </c>
      <c r="C822" t="s">
        <v>444</v>
      </c>
      <c r="D822">
        <v>1</v>
      </c>
      <c r="E822" s="27">
        <v>442.3</v>
      </c>
      <c r="F822" s="28">
        <v>0</v>
      </c>
      <c r="G822" s="27">
        <v>442.3</v>
      </c>
      <c r="H822" s="27">
        <v>88.46</v>
      </c>
      <c r="I822" s="27">
        <v>530.76</v>
      </c>
    </row>
    <row r="823" ht="15" customHeight="1" spans="1:9">
      <c r="A823" t="s">
        <v>1791</v>
      </c>
      <c r="B823" t="s">
        <v>898</v>
      </c>
      <c r="C823" t="s">
        <v>435</v>
      </c>
      <c r="D823">
        <v>1</v>
      </c>
      <c r="E823" s="27">
        <v>262.34</v>
      </c>
      <c r="F823" s="28">
        <v>0.1</v>
      </c>
      <c r="G823" s="27">
        <v>236.11</v>
      </c>
      <c r="H823" s="27">
        <v>47.22</v>
      </c>
      <c r="I823" s="27">
        <v>283.33</v>
      </c>
    </row>
    <row r="824" ht="15" customHeight="1" spans="1:9">
      <c r="A824" t="s">
        <v>1792</v>
      </c>
      <c r="B824" t="s">
        <v>899</v>
      </c>
      <c r="C824" t="s">
        <v>459</v>
      </c>
      <c r="D824">
        <v>1</v>
      </c>
      <c r="E824" s="27">
        <v>70.8</v>
      </c>
      <c r="F824" s="28">
        <v>0.15</v>
      </c>
      <c r="G824" s="27">
        <v>60.18</v>
      </c>
      <c r="H824" s="27">
        <v>12.04</v>
      </c>
      <c r="I824" s="27">
        <v>72.22</v>
      </c>
    </row>
    <row r="825" ht="15" customHeight="1" spans="1:9">
      <c r="A825" t="s">
        <v>1793</v>
      </c>
      <c r="B825" t="s">
        <v>900</v>
      </c>
      <c r="C825" t="s">
        <v>465</v>
      </c>
      <c r="D825">
        <v>2</v>
      </c>
      <c r="E825" s="27">
        <v>44.16</v>
      </c>
      <c r="F825" s="28">
        <v>0.05</v>
      </c>
      <c r="G825" s="27">
        <v>83.9</v>
      </c>
      <c r="H825" s="27">
        <v>16.78</v>
      </c>
      <c r="I825" s="27">
        <v>100.68</v>
      </c>
    </row>
    <row r="826" ht="15" customHeight="1" spans="1:9">
      <c r="A826" t="s">
        <v>1794</v>
      </c>
      <c r="B826" t="s">
        <v>900</v>
      </c>
      <c r="C826" t="s">
        <v>454</v>
      </c>
      <c r="D826">
        <v>1</v>
      </c>
      <c r="E826" s="27">
        <v>375.86</v>
      </c>
      <c r="F826" s="28">
        <v>0.1</v>
      </c>
      <c r="G826" s="27">
        <v>338.27</v>
      </c>
      <c r="H826" s="27">
        <v>67.65</v>
      </c>
      <c r="I826" s="27">
        <v>405.92</v>
      </c>
    </row>
    <row r="827" ht="15" customHeight="1" spans="1:9">
      <c r="A827" t="s">
        <v>1795</v>
      </c>
      <c r="B827" t="s">
        <v>900</v>
      </c>
      <c r="C827" t="s">
        <v>429</v>
      </c>
      <c r="D827">
        <v>2</v>
      </c>
      <c r="E827" s="27">
        <v>32.75</v>
      </c>
      <c r="F827" s="28">
        <v>0.05</v>
      </c>
      <c r="G827" s="27">
        <v>62.22</v>
      </c>
      <c r="H827" s="27">
        <v>12.44</v>
      </c>
      <c r="I827" s="27">
        <v>74.66</v>
      </c>
    </row>
    <row r="828" ht="15" customHeight="1" spans="1:9">
      <c r="A828" t="s">
        <v>1796</v>
      </c>
      <c r="B828" t="s">
        <v>900</v>
      </c>
      <c r="C828" t="s">
        <v>423</v>
      </c>
      <c r="D828">
        <v>1</v>
      </c>
      <c r="E828" s="27">
        <v>46.02</v>
      </c>
      <c r="F828" s="28">
        <v>0</v>
      </c>
      <c r="G828" s="27">
        <v>46.02</v>
      </c>
      <c r="H828" s="27">
        <v>9.2</v>
      </c>
      <c r="I828" s="27">
        <v>55.22</v>
      </c>
    </row>
    <row r="829" ht="15" customHeight="1" spans="1:9">
      <c r="A829" t="s">
        <v>1797</v>
      </c>
      <c r="B829" t="s">
        <v>901</v>
      </c>
      <c r="C829" t="s">
        <v>444</v>
      </c>
      <c r="D829">
        <v>2</v>
      </c>
      <c r="E829" s="27">
        <v>442.3</v>
      </c>
      <c r="F829" s="28">
        <v>0</v>
      </c>
      <c r="G829" s="27">
        <v>884.6</v>
      </c>
      <c r="H829" s="27">
        <v>176.92</v>
      </c>
      <c r="I829" s="27">
        <v>1061.52</v>
      </c>
    </row>
    <row r="830" ht="15" customHeight="1" spans="1:9">
      <c r="A830" t="s">
        <v>1798</v>
      </c>
      <c r="B830" t="s">
        <v>901</v>
      </c>
      <c r="C830" t="s">
        <v>372</v>
      </c>
      <c r="D830">
        <v>2</v>
      </c>
      <c r="E830" s="27">
        <v>216.77</v>
      </c>
      <c r="F830" s="28">
        <v>0.15</v>
      </c>
      <c r="G830" s="27">
        <v>368.51</v>
      </c>
      <c r="H830" s="27">
        <v>73.7</v>
      </c>
      <c r="I830" s="27">
        <v>442.21</v>
      </c>
    </row>
    <row r="831" ht="15" customHeight="1" spans="1:9">
      <c r="A831" t="s">
        <v>1799</v>
      </c>
      <c r="B831" t="s">
        <v>902</v>
      </c>
      <c r="C831" t="s">
        <v>442</v>
      </c>
      <c r="D831">
        <v>10</v>
      </c>
      <c r="E831" s="27">
        <v>374.59</v>
      </c>
      <c r="F831" s="28">
        <v>0</v>
      </c>
      <c r="G831" s="27">
        <v>3745.9</v>
      </c>
      <c r="H831" s="27">
        <v>749.18</v>
      </c>
      <c r="I831" s="27">
        <v>4495.08</v>
      </c>
    </row>
    <row r="832" ht="15" customHeight="1" spans="1:9">
      <c r="A832" t="s">
        <v>1800</v>
      </c>
      <c r="B832" t="s">
        <v>902</v>
      </c>
      <c r="C832" t="s">
        <v>433</v>
      </c>
      <c r="D832">
        <v>2</v>
      </c>
      <c r="E832" s="27">
        <v>58.14</v>
      </c>
      <c r="F832" s="28">
        <v>0.1</v>
      </c>
      <c r="G832" s="27">
        <v>104.65</v>
      </c>
      <c r="H832" s="27">
        <v>20.93</v>
      </c>
      <c r="I832" s="27">
        <v>125.58</v>
      </c>
    </row>
    <row r="833" ht="15" customHeight="1" spans="1:9">
      <c r="A833" t="s">
        <v>1801</v>
      </c>
      <c r="B833" t="s">
        <v>902</v>
      </c>
      <c r="C833" t="s">
        <v>454</v>
      </c>
      <c r="D833">
        <v>1</v>
      </c>
      <c r="E833" s="27">
        <v>375.86</v>
      </c>
      <c r="F833" s="28">
        <v>0.05</v>
      </c>
      <c r="G833" s="27">
        <v>357.07</v>
      </c>
      <c r="H833" s="27">
        <v>71.41</v>
      </c>
      <c r="I833" s="27">
        <v>428.48</v>
      </c>
    </row>
    <row r="834" ht="15" customHeight="1" spans="1:9">
      <c r="A834" t="s">
        <v>1802</v>
      </c>
      <c r="B834" t="s">
        <v>903</v>
      </c>
      <c r="C834" t="s">
        <v>440</v>
      </c>
      <c r="D834">
        <v>4</v>
      </c>
      <c r="E834" s="27">
        <v>391.34</v>
      </c>
      <c r="F834" s="28">
        <v>0.1</v>
      </c>
      <c r="G834" s="27">
        <v>1408.82</v>
      </c>
      <c r="H834" s="27">
        <v>281.76</v>
      </c>
      <c r="I834" s="27">
        <v>1690.58</v>
      </c>
    </row>
    <row r="835" ht="15" customHeight="1" spans="1:9">
      <c r="A835" t="s">
        <v>1803</v>
      </c>
      <c r="B835" t="s">
        <v>903</v>
      </c>
      <c r="C835" t="s">
        <v>469</v>
      </c>
      <c r="D835">
        <v>1</v>
      </c>
      <c r="E835" s="27">
        <v>30.71</v>
      </c>
      <c r="F835" s="28">
        <v>0</v>
      </c>
      <c r="G835" s="27">
        <v>30.71</v>
      </c>
      <c r="H835" s="27">
        <v>6.14</v>
      </c>
      <c r="I835" s="27">
        <v>36.85</v>
      </c>
    </row>
    <row r="836" ht="15" customHeight="1" spans="1:9">
      <c r="A836" t="s">
        <v>1804</v>
      </c>
      <c r="B836" t="s">
        <v>904</v>
      </c>
      <c r="C836" t="s">
        <v>435</v>
      </c>
      <c r="D836">
        <v>2</v>
      </c>
      <c r="E836" s="27">
        <v>262.34</v>
      </c>
      <c r="F836" s="28">
        <v>0.1</v>
      </c>
      <c r="G836" s="27">
        <v>472.21</v>
      </c>
      <c r="H836" s="27">
        <v>94.44</v>
      </c>
      <c r="I836" s="27">
        <v>566.65</v>
      </c>
    </row>
    <row r="837" ht="15" customHeight="1" spans="1:9">
      <c r="A837" t="s">
        <v>1805</v>
      </c>
      <c r="B837" t="s">
        <v>905</v>
      </c>
      <c r="C837" t="s">
        <v>408</v>
      </c>
      <c r="D837">
        <v>1</v>
      </c>
      <c r="E837" s="27">
        <v>19.65</v>
      </c>
      <c r="F837" s="28">
        <v>0.1</v>
      </c>
      <c r="G837" s="27">
        <v>17.68</v>
      </c>
      <c r="H837" s="27">
        <v>3.54</v>
      </c>
      <c r="I837" s="27">
        <v>21.22</v>
      </c>
    </row>
    <row r="838" ht="15" customHeight="1" spans="1:9">
      <c r="A838" t="s">
        <v>1806</v>
      </c>
      <c r="B838" t="s">
        <v>905</v>
      </c>
      <c r="C838" t="s">
        <v>408</v>
      </c>
      <c r="D838">
        <v>1</v>
      </c>
      <c r="E838" s="27">
        <v>19.65</v>
      </c>
      <c r="F838" s="28">
        <v>0</v>
      </c>
      <c r="G838" s="27">
        <v>19.65</v>
      </c>
      <c r="H838" s="27">
        <v>3.93</v>
      </c>
      <c r="I838" s="27">
        <v>23.58</v>
      </c>
    </row>
    <row r="839" ht="15" customHeight="1" spans="1:9">
      <c r="A839" t="s">
        <v>1807</v>
      </c>
      <c r="B839" t="s">
        <v>906</v>
      </c>
      <c r="C839" t="s">
        <v>396</v>
      </c>
      <c r="D839">
        <v>1</v>
      </c>
      <c r="E839" s="27">
        <v>225.64</v>
      </c>
      <c r="F839" s="28">
        <v>0.15</v>
      </c>
      <c r="G839" s="27">
        <v>191.79</v>
      </c>
      <c r="H839" s="27">
        <v>38.36</v>
      </c>
      <c r="I839" s="27">
        <v>230.15</v>
      </c>
    </row>
    <row r="840" ht="15" customHeight="1" spans="1:9">
      <c r="A840" t="s">
        <v>1808</v>
      </c>
      <c r="B840" t="s">
        <v>906</v>
      </c>
      <c r="C840" t="s">
        <v>404</v>
      </c>
      <c r="D840">
        <v>2</v>
      </c>
      <c r="E840" s="27">
        <v>30.09</v>
      </c>
      <c r="F840" s="28">
        <v>0.1</v>
      </c>
      <c r="G840" s="27">
        <v>54.16</v>
      </c>
      <c r="H840" s="27">
        <v>10.83</v>
      </c>
      <c r="I840" s="27">
        <v>64.99</v>
      </c>
    </row>
    <row r="841" ht="15" customHeight="1" spans="1:9">
      <c r="A841" t="s">
        <v>1809</v>
      </c>
      <c r="B841" t="s">
        <v>907</v>
      </c>
      <c r="C841" t="s">
        <v>427</v>
      </c>
      <c r="D841">
        <v>3</v>
      </c>
      <c r="E841" s="27">
        <v>25.25</v>
      </c>
      <c r="F841" s="28">
        <v>0</v>
      </c>
      <c r="G841" s="27">
        <v>75.75</v>
      </c>
      <c r="H841" s="27">
        <v>15.15</v>
      </c>
      <c r="I841" s="27">
        <v>90.9</v>
      </c>
    </row>
    <row r="842" ht="15" customHeight="1" spans="1:9">
      <c r="A842" t="s">
        <v>1810</v>
      </c>
      <c r="B842" t="s">
        <v>907</v>
      </c>
      <c r="C842" t="s">
        <v>461</v>
      </c>
      <c r="D842">
        <v>1</v>
      </c>
      <c r="E842" s="27">
        <v>59.83</v>
      </c>
      <c r="F842" s="28">
        <v>0.15</v>
      </c>
      <c r="G842" s="27">
        <v>50.86</v>
      </c>
      <c r="H842" s="27">
        <v>10.17</v>
      </c>
      <c r="I842" s="27">
        <v>61.03</v>
      </c>
    </row>
    <row r="843" ht="15" customHeight="1" spans="1:9">
      <c r="A843" t="s">
        <v>1811</v>
      </c>
      <c r="B843" t="s">
        <v>907</v>
      </c>
      <c r="C843" t="s">
        <v>393</v>
      </c>
      <c r="D843">
        <v>1</v>
      </c>
      <c r="E843" s="27">
        <v>196.18</v>
      </c>
      <c r="F843" s="28">
        <v>0.15</v>
      </c>
      <c r="G843" s="27">
        <v>166.75</v>
      </c>
      <c r="H843" s="27">
        <v>33.35</v>
      </c>
      <c r="I843" s="27">
        <v>200.1</v>
      </c>
    </row>
    <row r="844" ht="15" customHeight="1" spans="1:9">
      <c r="A844" t="s">
        <v>1812</v>
      </c>
      <c r="B844" t="s">
        <v>908</v>
      </c>
      <c r="C844" t="s">
        <v>435</v>
      </c>
      <c r="D844">
        <v>3</v>
      </c>
      <c r="E844" s="27">
        <v>262.34</v>
      </c>
      <c r="F844" s="28">
        <v>0.1</v>
      </c>
      <c r="G844" s="27">
        <v>708.32</v>
      </c>
      <c r="H844" s="27">
        <v>141.66</v>
      </c>
      <c r="I844" s="27">
        <v>849.98</v>
      </c>
    </row>
    <row r="845" ht="15" customHeight="1" spans="1:9">
      <c r="A845" t="s">
        <v>1813</v>
      </c>
      <c r="B845" t="s">
        <v>908</v>
      </c>
      <c r="C845" t="s">
        <v>402</v>
      </c>
      <c r="D845">
        <v>1</v>
      </c>
      <c r="E845" s="27">
        <v>26.57</v>
      </c>
      <c r="F845" s="28">
        <v>0.15</v>
      </c>
      <c r="G845" s="27">
        <v>22.58</v>
      </c>
      <c r="H845" s="27">
        <v>4.52</v>
      </c>
      <c r="I845" s="27">
        <v>27.1</v>
      </c>
    </row>
    <row r="846" ht="15" customHeight="1" spans="1:9">
      <c r="A846" t="s">
        <v>1814</v>
      </c>
      <c r="B846" t="s">
        <v>909</v>
      </c>
      <c r="C846" t="s">
        <v>431</v>
      </c>
      <c r="D846">
        <v>1</v>
      </c>
      <c r="E846" s="27">
        <v>47.74</v>
      </c>
      <c r="F846" s="28">
        <v>0</v>
      </c>
      <c r="G846" s="27">
        <v>47.74</v>
      </c>
      <c r="H846" s="27">
        <v>9.55</v>
      </c>
      <c r="I846" s="27">
        <v>57.29</v>
      </c>
    </row>
    <row r="847" ht="15" customHeight="1" spans="1:9">
      <c r="A847" t="s">
        <v>1815</v>
      </c>
      <c r="B847" t="s">
        <v>910</v>
      </c>
      <c r="C847" t="s">
        <v>459</v>
      </c>
      <c r="D847">
        <v>4</v>
      </c>
      <c r="E847" s="27">
        <v>70.8</v>
      </c>
      <c r="F847" s="28">
        <v>0</v>
      </c>
      <c r="G847" s="27">
        <v>283.2</v>
      </c>
      <c r="H847" s="27">
        <v>56.64</v>
      </c>
      <c r="I847" s="27">
        <v>339.84</v>
      </c>
    </row>
    <row r="848" ht="15" customHeight="1" spans="1:9">
      <c r="A848" t="s">
        <v>1816</v>
      </c>
      <c r="B848" t="s">
        <v>910</v>
      </c>
      <c r="C848" t="s">
        <v>408</v>
      </c>
      <c r="D848">
        <v>1</v>
      </c>
      <c r="E848" s="27">
        <v>19.65</v>
      </c>
      <c r="F848" s="28">
        <v>0</v>
      </c>
      <c r="G848" s="27">
        <v>19.65</v>
      </c>
      <c r="H848" s="27">
        <v>3.93</v>
      </c>
      <c r="I848" s="27">
        <v>23.58</v>
      </c>
    </row>
    <row r="849" ht="15" customHeight="1" spans="1:9">
      <c r="A849" t="s">
        <v>1817</v>
      </c>
      <c r="B849" t="s">
        <v>911</v>
      </c>
      <c r="C849" t="s">
        <v>463</v>
      </c>
      <c r="D849">
        <v>2</v>
      </c>
      <c r="E849" s="27">
        <v>73.02</v>
      </c>
      <c r="F849" s="28">
        <v>0</v>
      </c>
      <c r="G849" s="27">
        <v>146.04</v>
      </c>
      <c r="H849" s="27">
        <v>29.21</v>
      </c>
      <c r="I849" s="27">
        <v>175.25</v>
      </c>
    </row>
    <row r="850" ht="15" customHeight="1" spans="1:9">
      <c r="A850" t="s">
        <v>1818</v>
      </c>
      <c r="B850" t="s">
        <v>911</v>
      </c>
      <c r="C850" t="s">
        <v>414</v>
      </c>
      <c r="D850">
        <v>2</v>
      </c>
      <c r="E850" s="27">
        <v>63.96</v>
      </c>
      <c r="F850" s="28">
        <v>0.15</v>
      </c>
      <c r="G850" s="27">
        <v>108.73</v>
      </c>
      <c r="H850" s="27">
        <v>21.75</v>
      </c>
      <c r="I850" s="27">
        <v>130.48</v>
      </c>
    </row>
    <row r="851" ht="15" customHeight="1" spans="1:9">
      <c r="A851" t="s">
        <v>1819</v>
      </c>
      <c r="B851" t="s">
        <v>912</v>
      </c>
      <c r="C851" t="s">
        <v>469</v>
      </c>
      <c r="D851">
        <v>1</v>
      </c>
      <c r="E851" s="27">
        <v>30.71</v>
      </c>
      <c r="F851" s="28">
        <v>0</v>
      </c>
      <c r="G851" s="27">
        <v>30.71</v>
      </c>
      <c r="H851" s="27">
        <v>6.14</v>
      </c>
      <c r="I851" s="27">
        <v>36.85</v>
      </c>
    </row>
    <row r="852" ht="15" customHeight="1" spans="1:9">
      <c r="A852" t="s">
        <v>1820</v>
      </c>
      <c r="B852" t="s">
        <v>912</v>
      </c>
      <c r="C852" t="s">
        <v>372</v>
      </c>
      <c r="D852">
        <v>1</v>
      </c>
      <c r="E852" s="27">
        <v>216.77</v>
      </c>
      <c r="F852" s="28">
        <v>0</v>
      </c>
      <c r="G852" s="27">
        <v>216.77</v>
      </c>
      <c r="H852" s="27">
        <v>43.35</v>
      </c>
      <c r="I852" s="27">
        <v>260.12</v>
      </c>
    </row>
    <row r="853" ht="15" customHeight="1" spans="1:9">
      <c r="A853" t="s">
        <v>1821</v>
      </c>
      <c r="B853" t="s">
        <v>913</v>
      </c>
      <c r="C853" t="s">
        <v>389</v>
      </c>
      <c r="D853">
        <v>1</v>
      </c>
      <c r="E853" s="27">
        <v>120.37</v>
      </c>
      <c r="F853" s="28">
        <v>0.15</v>
      </c>
      <c r="G853" s="27">
        <v>102.31</v>
      </c>
      <c r="H853" s="27">
        <v>20.46</v>
      </c>
      <c r="I853" s="27">
        <v>122.77</v>
      </c>
    </row>
    <row r="854" ht="15" customHeight="1" spans="1:9">
      <c r="A854" t="s">
        <v>1822</v>
      </c>
      <c r="B854" t="s">
        <v>913</v>
      </c>
      <c r="C854" t="s">
        <v>448</v>
      </c>
      <c r="D854">
        <v>3</v>
      </c>
      <c r="E854" s="27">
        <v>543.43</v>
      </c>
      <c r="F854" s="28">
        <v>0</v>
      </c>
      <c r="G854" s="27">
        <v>1630.29</v>
      </c>
      <c r="H854" s="27">
        <v>326.06</v>
      </c>
      <c r="I854" s="27">
        <v>1956.35</v>
      </c>
    </row>
    <row r="855" ht="15" customHeight="1" spans="1:9">
      <c r="A855" t="s">
        <v>1823</v>
      </c>
      <c r="B855" t="s">
        <v>913</v>
      </c>
      <c r="C855" t="s">
        <v>387</v>
      </c>
      <c r="D855">
        <v>2</v>
      </c>
      <c r="E855" s="27">
        <v>37.91</v>
      </c>
      <c r="F855" s="28">
        <v>0</v>
      </c>
      <c r="G855" s="27">
        <v>75.82</v>
      </c>
      <c r="H855" s="27">
        <v>15.16</v>
      </c>
      <c r="I855" s="27">
        <v>90.98</v>
      </c>
    </row>
    <row r="856" ht="15" customHeight="1" spans="1:9">
      <c r="A856" t="s">
        <v>1824</v>
      </c>
      <c r="B856" t="s">
        <v>913</v>
      </c>
      <c r="C856" t="s">
        <v>410</v>
      </c>
      <c r="D856">
        <v>2</v>
      </c>
      <c r="E856" s="27">
        <v>106.93</v>
      </c>
      <c r="F856" s="28">
        <v>0</v>
      </c>
      <c r="G856" s="27">
        <v>213.86</v>
      </c>
      <c r="H856" s="27">
        <v>42.77</v>
      </c>
      <c r="I856" s="27">
        <v>256.63</v>
      </c>
    </row>
    <row r="857" ht="15" customHeight="1" spans="1:9">
      <c r="A857" t="s">
        <v>1825</v>
      </c>
      <c r="B857" t="s">
        <v>914</v>
      </c>
      <c r="C857" t="s">
        <v>377</v>
      </c>
      <c r="D857">
        <v>1</v>
      </c>
      <c r="E857" s="27">
        <v>84.94</v>
      </c>
      <c r="F857" s="28">
        <v>0</v>
      </c>
      <c r="G857" s="27">
        <v>84.94</v>
      </c>
      <c r="H857" s="27">
        <v>16.99</v>
      </c>
      <c r="I857" s="27">
        <v>101.93</v>
      </c>
    </row>
    <row r="858" ht="15" customHeight="1" spans="1:9">
      <c r="A858" t="s">
        <v>1826</v>
      </c>
      <c r="B858" t="s">
        <v>915</v>
      </c>
      <c r="C858" t="s">
        <v>438</v>
      </c>
      <c r="D858">
        <v>8</v>
      </c>
      <c r="E858" s="27">
        <v>295.97</v>
      </c>
      <c r="F858" s="28">
        <v>0</v>
      </c>
      <c r="G858" s="27">
        <v>2367.76</v>
      </c>
      <c r="H858" s="27">
        <v>473.55</v>
      </c>
      <c r="I858" s="27">
        <v>2841.31</v>
      </c>
    </row>
    <row r="859" ht="15" customHeight="1" spans="1:9">
      <c r="A859" t="s">
        <v>1827</v>
      </c>
      <c r="B859" t="s">
        <v>915</v>
      </c>
      <c r="C859" t="s">
        <v>454</v>
      </c>
      <c r="D859">
        <v>1</v>
      </c>
      <c r="E859" s="27">
        <v>375.86</v>
      </c>
      <c r="F859" s="28">
        <v>0.15</v>
      </c>
      <c r="G859" s="27">
        <v>319.48</v>
      </c>
      <c r="H859" s="27">
        <v>63.9</v>
      </c>
      <c r="I859" s="27">
        <v>383.38</v>
      </c>
    </row>
    <row r="860" ht="15" customHeight="1" spans="1:9">
      <c r="A860" t="s">
        <v>1828</v>
      </c>
      <c r="B860" t="s">
        <v>916</v>
      </c>
      <c r="C860" t="s">
        <v>383</v>
      </c>
      <c r="D860">
        <v>1</v>
      </c>
      <c r="E860" s="27">
        <v>39.08</v>
      </c>
      <c r="F860" s="28">
        <v>0</v>
      </c>
      <c r="G860" s="27">
        <v>39.08</v>
      </c>
      <c r="H860" s="27">
        <v>7.82</v>
      </c>
      <c r="I860" s="27">
        <v>46.9</v>
      </c>
    </row>
    <row r="861" ht="15" customHeight="1" spans="1:9">
      <c r="A861" t="s">
        <v>1829</v>
      </c>
      <c r="B861" t="s">
        <v>916</v>
      </c>
      <c r="C861" t="s">
        <v>448</v>
      </c>
      <c r="D861">
        <v>3</v>
      </c>
      <c r="E861" s="27">
        <v>543.43</v>
      </c>
      <c r="F861" s="28">
        <v>0.05</v>
      </c>
      <c r="G861" s="27">
        <v>1548.78</v>
      </c>
      <c r="H861" s="27">
        <v>309.76</v>
      </c>
      <c r="I861" s="27">
        <v>1858.54</v>
      </c>
    </row>
    <row r="862" ht="15" customHeight="1" spans="1:9">
      <c r="A862" t="s">
        <v>1830</v>
      </c>
      <c r="B862" t="s">
        <v>916</v>
      </c>
      <c r="C862" t="s">
        <v>370</v>
      </c>
      <c r="D862">
        <v>4</v>
      </c>
      <c r="E862" s="27">
        <v>970.58</v>
      </c>
      <c r="F862" s="28">
        <v>0</v>
      </c>
      <c r="G862" s="27">
        <v>3882.32</v>
      </c>
      <c r="H862" s="27">
        <v>776.46</v>
      </c>
      <c r="I862" s="27">
        <v>4658.78</v>
      </c>
    </row>
    <row r="863" ht="15" customHeight="1" spans="1:9">
      <c r="A863" t="s">
        <v>1831</v>
      </c>
      <c r="B863" t="s">
        <v>917</v>
      </c>
      <c r="C863" t="s">
        <v>425</v>
      </c>
      <c r="D863">
        <v>2</v>
      </c>
      <c r="E863" s="27">
        <v>36.08</v>
      </c>
      <c r="F863" s="28">
        <v>0.1</v>
      </c>
      <c r="G863" s="27">
        <v>64.94</v>
      </c>
      <c r="H863" s="27">
        <v>12.99</v>
      </c>
      <c r="I863" s="27">
        <v>77.93</v>
      </c>
    </row>
    <row r="864" ht="15" customHeight="1" spans="1:9">
      <c r="A864" t="s">
        <v>1832</v>
      </c>
      <c r="B864" t="s">
        <v>917</v>
      </c>
      <c r="C864" t="s">
        <v>467</v>
      </c>
      <c r="D864">
        <v>5</v>
      </c>
      <c r="E864" s="27">
        <v>49.53</v>
      </c>
      <c r="F864" s="28">
        <v>0.05</v>
      </c>
      <c r="G864" s="27">
        <v>235.27</v>
      </c>
      <c r="H864" s="27">
        <v>47.05</v>
      </c>
      <c r="I864" s="27">
        <v>282.32</v>
      </c>
    </row>
    <row r="865" ht="15" customHeight="1" spans="1:9">
      <c r="A865" t="s">
        <v>1833</v>
      </c>
      <c r="B865" t="s">
        <v>917</v>
      </c>
      <c r="C865" t="s">
        <v>435</v>
      </c>
      <c r="D865">
        <v>1</v>
      </c>
      <c r="E865" s="27">
        <v>262.34</v>
      </c>
      <c r="F865" s="28">
        <v>0.15</v>
      </c>
      <c r="G865" s="27">
        <v>222.99</v>
      </c>
      <c r="H865" s="27">
        <v>44.6</v>
      </c>
      <c r="I865" s="27">
        <v>267.59</v>
      </c>
    </row>
    <row r="866" ht="15" customHeight="1" spans="1:9">
      <c r="A866" t="s">
        <v>1834</v>
      </c>
      <c r="B866" t="s">
        <v>918</v>
      </c>
      <c r="C866" t="s">
        <v>419</v>
      </c>
      <c r="D866">
        <v>1</v>
      </c>
      <c r="E866" s="27">
        <v>100.34</v>
      </c>
      <c r="F866" s="28">
        <v>0</v>
      </c>
      <c r="G866" s="27">
        <v>100.34</v>
      </c>
      <c r="H866" s="27">
        <v>20.07</v>
      </c>
      <c r="I866" s="27">
        <v>120.41</v>
      </c>
    </row>
    <row r="867" ht="15" customHeight="1" spans="1:9">
      <c r="A867" t="s">
        <v>1835</v>
      </c>
      <c r="B867" t="s">
        <v>918</v>
      </c>
      <c r="C867" t="s">
        <v>425</v>
      </c>
      <c r="D867">
        <v>1</v>
      </c>
      <c r="E867" s="27">
        <v>36.08</v>
      </c>
      <c r="F867" s="28">
        <v>0.15</v>
      </c>
      <c r="G867" s="27">
        <v>30.67</v>
      </c>
      <c r="H867" s="27">
        <v>6.13</v>
      </c>
      <c r="I867" s="27">
        <v>36.8</v>
      </c>
    </row>
    <row r="868" ht="15" customHeight="1" spans="1:9">
      <c r="A868" t="s">
        <v>1836</v>
      </c>
      <c r="B868" t="s">
        <v>919</v>
      </c>
      <c r="C868" t="s">
        <v>396</v>
      </c>
      <c r="D868">
        <v>2</v>
      </c>
      <c r="E868" s="27">
        <v>225.64</v>
      </c>
      <c r="F868" s="28">
        <v>0.05</v>
      </c>
      <c r="G868" s="27">
        <v>428.72</v>
      </c>
      <c r="H868" s="27">
        <v>85.74</v>
      </c>
      <c r="I868" s="27">
        <v>514.46</v>
      </c>
    </row>
    <row r="869" ht="15" customHeight="1" spans="1:9">
      <c r="A869" t="s">
        <v>1837</v>
      </c>
      <c r="B869" t="s">
        <v>919</v>
      </c>
      <c r="C869" t="s">
        <v>461</v>
      </c>
      <c r="D869">
        <v>1</v>
      </c>
      <c r="E869" s="27">
        <v>59.83</v>
      </c>
      <c r="F869" s="28">
        <v>0.15</v>
      </c>
      <c r="G869" s="27">
        <v>50.86</v>
      </c>
      <c r="H869" s="27">
        <v>10.17</v>
      </c>
      <c r="I869" s="27">
        <v>61.03</v>
      </c>
    </row>
    <row r="870" ht="15" customHeight="1" spans="1:9">
      <c r="A870" t="s">
        <v>1838</v>
      </c>
      <c r="B870" t="s">
        <v>920</v>
      </c>
      <c r="C870" t="s">
        <v>398</v>
      </c>
      <c r="D870">
        <v>1</v>
      </c>
      <c r="E870" s="27">
        <v>383.91</v>
      </c>
      <c r="F870" s="28">
        <v>0.1</v>
      </c>
      <c r="G870" s="27">
        <v>345.52</v>
      </c>
      <c r="H870" s="27">
        <v>69.1</v>
      </c>
      <c r="I870" s="27">
        <v>414.62</v>
      </c>
    </row>
    <row r="871" ht="15" customHeight="1" spans="1:9">
      <c r="A871" t="s">
        <v>1839</v>
      </c>
      <c r="B871" t="s">
        <v>921</v>
      </c>
      <c r="C871" t="s">
        <v>431</v>
      </c>
      <c r="D871">
        <v>8</v>
      </c>
      <c r="E871" s="27">
        <v>47.74</v>
      </c>
      <c r="F871" s="28">
        <v>0</v>
      </c>
      <c r="G871" s="27">
        <v>381.92</v>
      </c>
      <c r="H871" s="27">
        <v>76.38</v>
      </c>
      <c r="I871" s="27">
        <v>458.3</v>
      </c>
    </row>
    <row r="872" ht="15" customHeight="1" spans="1:9">
      <c r="A872" t="s">
        <v>1840</v>
      </c>
      <c r="B872" t="s">
        <v>921</v>
      </c>
      <c r="C872" t="s">
        <v>372</v>
      </c>
      <c r="D872">
        <v>1</v>
      </c>
      <c r="E872" s="27">
        <v>216.77</v>
      </c>
      <c r="F872" s="28">
        <v>0</v>
      </c>
      <c r="G872" s="27">
        <v>216.77</v>
      </c>
      <c r="H872" s="27">
        <v>43.35</v>
      </c>
      <c r="I872" s="27">
        <v>260.12</v>
      </c>
    </row>
    <row r="873" ht="15" customHeight="1" spans="1:9">
      <c r="A873" t="s">
        <v>1841</v>
      </c>
      <c r="B873" t="s">
        <v>922</v>
      </c>
      <c r="C873" t="s">
        <v>402</v>
      </c>
      <c r="D873">
        <v>5</v>
      </c>
      <c r="E873" s="27">
        <v>26.57</v>
      </c>
      <c r="F873" s="28">
        <v>0</v>
      </c>
      <c r="G873" s="27">
        <v>132.85</v>
      </c>
      <c r="H873" s="27">
        <v>26.57</v>
      </c>
      <c r="I873" s="27">
        <v>159.42</v>
      </c>
    </row>
    <row r="874" ht="15" customHeight="1" spans="1:9">
      <c r="A874" t="s">
        <v>1842</v>
      </c>
      <c r="B874" t="s">
        <v>922</v>
      </c>
      <c r="C874" t="s">
        <v>471</v>
      </c>
      <c r="D874">
        <v>1</v>
      </c>
      <c r="E874" s="27">
        <v>35.83</v>
      </c>
      <c r="F874" s="28">
        <v>0.15</v>
      </c>
      <c r="G874" s="27">
        <v>30.46</v>
      </c>
      <c r="H874" s="27">
        <v>6.09</v>
      </c>
      <c r="I874" s="27">
        <v>36.55</v>
      </c>
    </row>
    <row r="875" ht="15" customHeight="1" spans="1:9">
      <c r="A875" t="s">
        <v>1843</v>
      </c>
      <c r="B875" t="s">
        <v>922</v>
      </c>
      <c r="C875" t="s">
        <v>370</v>
      </c>
      <c r="D875">
        <v>2</v>
      </c>
      <c r="E875" s="27">
        <v>970.58</v>
      </c>
      <c r="F875" s="28">
        <v>0.1</v>
      </c>
      <c r="G875" s="27">
        <v>1747.04</v>
      </c>
      <c r="H875" s="27">
        <v>349.41</v>
      </c>
      <c r="I875" s="27">
        <v>2096.45</v>
      </c>
    </row>
    <row r="876" ht="15" customHeight="1" spans="1:9">
      <c r="A876" t="s">
        <v>1844</v>
      </c>
      <c r="B876" t="s">
        <v>923</v>
      </c>
      <c r="C876" t="s">
        <v>383</v>
      </c>
      <c r="D876">
        <v>2</v>
      </c>
      <c r="E876" s="27">
        <v>39.08</v>
      </c>
      <c r="F876" s="28">
        <v>0</v>
      </c>
      <c r="G876" s="27">
        <v>78.16</v>
      </c>
      <c r="H876" s="27">
        <v>15.63</v>
      </c>
      <c r="I876" s="27">
        <v>93.79</v>
      </c>
    </row>
    <row r="877" ht="15" customHeight="1" spans="1:9">
      <c r="A877" t="s">
        <v>1845</v>
      </c>
      <c r="B877" t="s">
        <v>923</v>
      </c>
      <c r="C877" t="s">
        <v>450</v>
      </c>
      <c r="D877">
        <v>1</v>
      </c>
      <c r="E877" s="27">
        <v>538.29</v>
      </c>
      <c r="F877" s="28">
        <v>0</v>
      </c>
      <c r="G877" s="27">
        <v>538.29</v>
      </c>
      <c r="H877" s="27">
        <v>107.66</v>
      </c>
      <c r="I877" s="27">
        <v>645.95</v>
      </c>
    </row>
    <row r="878" ht="15" customHeight="1" spans="1:9">
      <c r="A878" t="s">
        <v>1846</v>
      </c>
      <c r="B878" t="s">
        <v>923</v>
      </c>
      <c r="C878" t="s">
        <v>387</v>
      </c>
      <c r="D878">
        <v>2</v>
      </c>
      <c r="E878" s="27">
        <v>37.91</v>
      </c>
      <c r="F878" s="28">
        <v>0.1</v>
      </c>
      <c r="G878" s="27">
        <v>68.24</v>
      </c>
      <c r="H878" s="27">
        <v>13.65</v>
      </c>
      <c r="I878" s="27">
        <v>81.89</v>
      </c>
    </row>
    <row r="879" ht="15" customHeight="1" spans="1:9">
      <c r="A879" t="s">
        <v>1847</v>
      </c>
      <c r="B879" t="s">
        <v>924</v>
      </c>
      <c r="C879" t="s">
        <v>463</v>
      </c>
      <c r="D879">
        <v>2</v>
      </c>
      <c r="E879" s="27">
        <v>73.02</v>
      </c>
      <c r="F879" s="28">
        <v>0</v>
      </c>
      <c r="G879" s="27">
        <v>146.04</v>
      </c>
      <c r="H879" s="27">
        <v>29.21</v>
      </c>
      <c r="I879" s="27">
        <v>175.25</v>
      </c>
    </row>
    <row r="880" ht="15" customHeight="1" spans="1:9">
      <c r="A880" t="s">
        <v>1848</v>
      </c>
      <c r="B880" t="s">
        <v>925</v>
      </c>
      <c r="C880" t="s">
        <v>391</v>
      </c>
      <c r="D880">
        <v>3</v>
      </c>
      <c r="E880" s="27">
        <v>138.13</v>
      </c>
      <c r="F880" s="28">
        <v>0</v>
      </c>
      <c r="G880" s="27">
        <v>414.39</v>
      </c>
      <c r="H880" s="27">
        <v>82.88</v>
      </c>
      <c r="I880" s="27">
        <v>497.27</v>
      </c>
    </row>
    <row r="881" ht="15" customHeight="1" spans="1:9">
      <c r="A881" t="s">
        <v>1849</v>
      </c>
      <c r="B881" t="s">
        <v>926</v>
      </c>
      <c r="C881" t="s">
        <v>456</v>
      </c>
      <c r="D881">
        <v>2</v>
      </c>
      <c r="E881" s="27">
        <v>62.13</v>
      </c>
      <c r="F881" s="28">
        <v>0</v>
      </c>
      <c r="G881" s="27">
        <v>124.26</v>
      </c>
      <c r="H881" s="27">
        <v>24.85</v>
      </c>
      <c r="I881" s="27">
        <v>149.11</v>
      </c>
    </row>
    <row r="882" ht="15" customHeight="1" spans="1:9">
      <c r="A882" t="s">
        <v>1850</v>
      </c>
      <c r="B882" t="s">
        <v>927</v>
      </c>
      <c r="C882" t="s">
        <v>450</v>
      </c>
      <c r="D882">
        <v>4</v>
      </c>
      <c r="E882" s="27">
        <v>538.29</v>
      </c>
      <c r="F882" s="28">
        <v>0.05</v>
      </c>
      <c r="G882" s="27">
        <v>2045.5</v>
      </c>
      <c r="H882" s="27">
        <v>409.1</v>
      </c>
      <c r="I882" s="27">
        <v>2454.6</v>
      </c>
    </row>
    <row r="883" ht="15" customHeight="1" spans="1:9">
      <c r="A883" t="s">
        <v>1851</v>
      </c>
      <c r="B883" t="s">
        <v>927</v>
      </c>
      <c r="C883" t="s">
        <v>465</v>
      </c>
      <c r="D883">
        <v>3</v>
      </c>
      <c r="E883" s="27">
        <v>44.16</v>
      </c>
      <c r="F883" s="28">
        <v>0.05</v>
      </c>
      <c r="G883" s="27">
        <v>125.86</v>
      </c>
      <c r="H883" s="27">
        <v>25.17</v>
      </c>
      <c r="I883" s="27">
        <v>151.03</v>
      </c>
    </row>
    <row r="884" ht="15" customHeight="1" spans="1:9">
      <c r="A884" t="s">
        <v>1852</v>
      </c>
      <c r="B884" t="s">
        <v>927</v>
      </c>
      <c r="C884" t="s">
        <v>465</v>
      </c>
      <c r="D884">
        <v>1</v>
      </c>
      <c r="E884" s="27">
        <v>44.16</v>
      </c>
      <c r="F884" s="28">
        <v>0</v>
      </c>
      <c r="G884" s="27">
        <v>44.16</v>
      </c>
      <c r="H884" s="27">
        <v>8.83</v>
      </c>
      <c r="I884" s="27">
        <v>52.99</v>
      </c>
    </row>
    <row r="885" ht="15" customHeight="1" spans="1:9">
      <c r="A885" t="s">
        <v>1853</v>
      </c>
      <c r="B885" t="s">
        <v>928</v>
      </c>
      <c r="C885" t="s">
        <v>467</v>
      </c>
      <c r="D885">
        <v>2</v>
      </c>
      <c r="E885" s="27">
        <v>49.53</v>
      </c>
      <c r="F885" s="28">
        <v>0</v>
      </c>
      <c r="G885" s="27">
        <v>99.06</v>
      </c>
      <c r="H885" s="27">
        <v>19.81</v>
      </c>
      <c r="I885" s="27">
        <v>118.87</v>
      </c>
    </row>
    <row r="886" ht="15" customHeight="1" spans="1:9">
      <c r="A886" t="s">
        <v>1854</v>
      </c>
      <c r="B886" t="s">
        <v>928</v>
      </c>
      <c r="C886" t="s">
        <v>456</v>
      </c>
      <c r="D886">
        <v>3</v>
      </c>
      <c r="E886" s="27">
        <v>62.13</v>
      </c>
      <c r="F886" s="28">
        <v>0</v>
      </c>
      <c r="G886" s="27">
        <v>186.39</v>
      </c>
      <c r="H886" s="27">
        <v>37.28</v>
      </c>
      <c r="I886" s="27">
        <v>223.67</v>
      </c>
    </row>
    <row r="887" ht="15" customHeight="1" spans="1:9">
      <c r="A887" t="s">
        <v>1855</v>
      </c>
      <c r="B887" t="s">
        <v>929</v>
      </c>
      <c r="C887" t="s">
        <v>444</v>
      </c>
      <c r="D887">
        <v>2</v>
      </c>
      <c r="E887" s="27">
        <v>442.3</v>
      </c>
      <c r="F887" s="28">
        <v>0.05</v>
      </c>
      <c r="G887" s="27">
        <v>840.37</v>
      </c>
      <c r="H887" s="27">
        <v>168.07</v>
      </c>
      <c r="I887" s="27">
        <v>1008.44</v>
      </c>
    </row>
    <row r="888" ht="15" customHeight="1" spans="1:9">
      <c r="A888" t="s">
        <v>1856</v>
      </c>
      <c r="B888" t="s">
        <v>929</v>
      </c>
      <c r="C888" t="s">
        <v>475</v>
      </c>
      <c r="D888">
        <v>2</v>
      </c>
      <c r="E888" s="27">
        <v>42</v>
      </c>
      <c r="F888" s="28">
        <v>0</v>
      </c>
      <c r="G888" s="27">
        <v>84</v>
      </c>
      <c r="H888" s="27">
        <v>16.8</v>
      </c>
      <c r="I888" s="27">
        <v>100.8</v>
      </c>
    </row>
    <row r="889" ht="15" customHeight="1" spans="1:9">
      <c r="A889" t="s">
        <v>1857</v>
      </c>
      <c r="B889" t="s">
        <v>929</v>
      </c>
      <c r="C889" t="s">
        <v>408</v>
      </c>
      <c r="D889">
        <v>1</v>
      </c>
      <c r="E889" s="27">
        <v>19.65</v>
      </c>
      <c r="F889" s="28">
        <v>0</v>
      </c>
      <c r="G889" s="27">
        <v>19.65</v>
      </c>
      <c r="H889" s="27">
        <v>3.93</v>
      </c>
      <c r="I889" s="27">
        <v>23.58</v>
      </c>
    </row>
    <row r="890" ht="15" customHeight="1" spans="1:9">
      <c r="A890" t="s">
        <v>1858</v>
      </c>
      <c r="B890" t="s">
        <v>929</v>
      </c>
      <c r="C890" t="s">
        <v>391</v>
      </c>
      <c r="D890">
        <v>2</v>
      </c>
      <c r="E890" s="27">
        <v>138.13</v>
      </c>
      <c r="F890" s="28">
        <v>0.05</v>
      </c>
      <c r="G890" s="27">
        <v>262.45</v>
      </c>
      <c r="H890" s="27">
        <v>52.49</v>
      </c>
      <c r="I890" s="27">
        <v>314.94</v>
      </c>
    </row>
    <row r="891" ht="15" customHeight="1" spans="1:9">
      <c r="A891" t="s">
        <v>1859</v>
      </c>
      <c r="B891" t="s">
        <v>930</v>
      </c>
      <c r="C891" t="s">
        <v>406</v>
      </c>
      <c r="D891">
        <v>1</v>
      </c>
      <c r="E891" s="27">
        <v>18.86</v>
      </c>
      <c r="F891" s="28">
        <v>0.05</v>
      </c>
      <c r="G891" s="27">
        <v>17.92</v>
      </c>
      <c r="H891" s="27">
        <v>3.58</v>
      </c>
      <c r="I891" s="27">
        <v>21.5</v>
      </c>
    </row>
    <row r="892" ht="15" customHeight="1" spans="1:9">
      <c r="A892" t="s">
        <v>1860</v>
      </c>
      <c r="B892" t="s">
        <v>931</v>
      </c>
      <c r="C892" t="s">
        <v>377</v>
      </c>
      <c r="D892">
        <v>4</v>
      </c>
      <c r="E892" s="27">
        <v>84.94</v>
      </c>
      <c r="F892" s="28">
        <v>0.15</v>
      </c>
      <c r="G892" s="27">
        <v>288.8</v>
      </c>
      <c r="H892" s="27">
        <v>57.76</v>
      </c>
      <c r="I892" s="27">
        <v>346.56</v>
      </c>
    </row>
    <row r="893" ht="15" customHeight="1" spans="1:9">
      <c r="A893" t="s">
        <v>1861</v>
      </c>
      <c r="B893" t="s">
        <v>931</v>
      </c>
      <c r="C893" t="s">
        <v>431</v>
      </c>
      <c r="D893">
        <v>2</v>
      </c>
      <c r="E893" s="27">
        <v>47.74</v>
      </c>
      <c r="F893" s="28">
        <v>0</v>
      </c>
      <c r="G893" s="27">
        <v>95.48</v>
      </c>
      <c r="H893" s="27">
        <v>19.1</v>
      </c>
      <c r="I893" s="27">
        <v>114.58</v>
      </c>
    </row>
    <row r="894" ht="15" customHeight="1" spans="1:9">
      <c r="A894" t="s">
        <v>1862</v>
      </c>
      <c r="B894" t="s">
        <v>932</v>
      </c>
      <c r="C894" t="s">
        <v>471</v>
      </c>
      <c r="D894">
        <v>1</v>
      </c>
      <c r="E894" s="27">
        <v>35.83</v>
      </c>
      <c r="F894" s="28">
        <v>0</v>
      </c>
      <c r="G894" s="27">
        <v>35.83</v>
      </c>
      <c r="H894" s="27">
        <v>7.17</v>
      </c>
      <c r="I894" s="27">
        <v>43</v>
      </c>
    </row>
    <row r="895" ht="15" customHeight="1" spans="1:9">
      <c r="A895" t="s">
        <v>1863</v>
      </c>
      <c r="B895" t="s">
        <v>933</v>
      </c>
      <c r="C895" t="s">
        <v>391</v>
      </c>
      <c r="D895">
        <v>1</v>
      </c>
      <c r="E895" s="27">
        <v>138.13</v>
      </c>
      <c r="F895" s="28">
        <v>0.1</v>
      </c>
      <c r="G895" s="27">
        <v>124.32</v>
      </c>
      <c r="H895" s="27">
        <v>24.86</v>
      </c>
      <c r="I895" s="27">
        <v>149.18</v>
      </c>
    </row>
    <row r="896" ht="15" customHeight="1" spans="1:9">
      <c r="A896" t="s">
        <v>1864</v>
      </c>
      <c r="B896" t="s">
        <v>933</v>
      </c>
      <c r="C896" t="s">
        <v>433</v>
      </c>
      <c r="D896">
        <v>1</v>
      </c>
      <c r="E896" s="27">
        <v>58.14</v>
      </c>
      <c r="F896" s="28">
        <v>0</v>
      </c>
      <c r="G896" s="27">
        <v>58.14</v>
      </c>
      <c r="H896" s="27">
        <v>11.63</v>
      </c>
      <c r="I896" s="27">
        <v>69.77</v>
      </c>
    </row>
    <row r="897" ht="15" customHeight="1" spans="1:9">
      <c r="A897" t="s">
        <v>1865</v>
      </c>
      <c r="B897" t="s">
        <v>933</v>
      </c>
      <c r="C897" t="s">
        <v>389</v>
      </c>
      <c r="D897">
        <v>2</v>
      </c>
      <c r="E897" s="27">
        <v>120.37</v>
      </c>
      <c r="F897" s="28">
        <v>0</v>
      </c>
      <c r="G897" s="27">
        <v>240.74</v>
      </c>
      <c r="H897" s="27">
        <v>48.15</v>
      </c>
      <c r="I897" s="27">
        <v>288.89</v>
      </c>
    </row>
    <row r="898" ht="15" customHeight="1" spans="1:9">
      <c r="A898" t="s">
        <v>1866</v>
      </c>
      <c r="B898" t="s">
        <v>933</v>
      </c>
      <c r="C898" t="s">
        <v>456</v>
      </c>
      <c r="D898">
        <v>1</v>
      </c>
      <c r="E898" s="27">
        <v>62.13</v>
      </c>
      <c r="F898" s="28">
        <v>0</v>
      </c>
      <c r="G898" s="27">
        <v>62.13</v>
      </c>
      <c r="H898" s="27">
        <v>12.43</v>
      </c>
      <c r="I898" s="27">
        <v>74.56</v>
      </c>
    </row>
    <row r="899" ht="15" customHeight="1" spans="1:9">
      <c r="A899" t="s">
        <v>1867</v>
      </c>
      <c r="B899" t="s">
        <v>934</v>
      </c>
      <c r="C899" t="s">
        <v>433</v>
      </c>
      <c r="D899">
        <v>2</v>
      </c>
      <c r="E899" s="27">
        <v>58.14</v>
      </c>
      <c r="F899" s="28">
        <v>0</v>
      </c>
      <c r="G899" s="27">
        <v>116.28</v>
      </c>
      <c r="H899" s="27">
        <v>23.26</v>
      </c>
      <c r="I899" s="27">
        <v>139.54</v>
      </c>
    </row>
    <row r="900" ht="15" customHeight="1" spans="1:9">
      <c r="A900" t="s">
        <v>1868</v>
      </c>
      <c r="B900" t="s">
        <v>935</v>
      </c>
      <c r="C900" t="s">
        <v>442</v>
      </c>
      <c r="D900">
        <v>2</v>
      </c>
      <c r="E900" s="27">
        <v>374.59</v>
      </c>
      <c r="F900" s="28">
        <v>0</v>
      </c>
      <c r="G900" s="27">
        <v>749.18</v>
      </c>
      <c r="H900" s="27">
        <v>149.84</v>
      </c>
      <c r="I900" s="27">
        <v>899.02</v>
      </c>
    </row>
    <row r="901" ht="15" customHeight="1" spans="1:9">
      <c r="A901" t="s">
        <v>1869</v>
      </c>
      <c r="B901" t="s">
        <v>936</v>
      </c>
      <c r="C901" t="s">
        <v>429</v>
      </c>
      <c r="D901">
        <v>2</v>
      </c>
      <c r="E901" s="27">
        <v>32.75</v>
      </c>
      <c r="F901" s="28">
        <v>0.1</v>
      </c>
      <c r="G901" s="27">
        <v>58.95</v>
      </c>
      <c r="H901" s="27">
        <v>11.79</v>
      </c>
      <c r="I901" s="27">
        <v>70.74</v>
      </c>
    </row>
    <row r="902" ht="15" customHeight="1" spans="1:9">
      <c r="A902" t="s">
        <v>1870</v>
      </c>
      <c r="B902" t="s">
        <v>937</v>
      </c>
      <c r="C902" t="s">
        <v>469</v>
      </c>
      <c r="D902">
        <v>3</v>
      </c>
      <c r="E902" s="27">
        <v>30.71</v>
      </c>
      <c r="F902" s="28">
        <v>0</v>
      </c>
      <c r="G902" s="27">
        <v>92.13</v>
      </c>
      <c r="H902" s="27">
        <v>18.43</v>
      </c>
      <c r="I902" s="27">
        <v>110.56</v>
      </c>
    </row>
    <row r="903" ht="15" customHeight="1" spans="1:9">
      <c r="A903" t="s">
        <v>1871</v>
      </c>
      <c r="B903" t="s">
        <v>937</v>
      </c>
      <c r="C903" t="s">
        <v>429</v>
      </c>
      <c r="D903">
        <v>2</v>
      </c>
      <c r="E903" s="27">
        <v>32.75</v>
      </c>
      <c r="F903" s="28">
        <v>0.05</v>
      </c>
      <c r="G903" s="27">
        <v>62.22</v>
      </c>
      <c r="H903" s="27">
        <v>12.44</v>
      </c>
      <c r="I903" s="27">
        <v>74.66</v>
      </c>
    </row>
    <row r="904" ht="15" customHeight="1" spans="1:9">
      <c r="A904" t="s">
        <v>1872</v>
      </c>
      <c r="B904" t="s">
        <v>937</v>
      </c>
      <c r="C904" t="s">
        <v>465</v>
      </c>
      <c r="D904">
        <v>3</v>
      </c>
      <c r="E904" s="27">
        <v>44.16</v>
      </c>
      <c r="F904" s="28">
        <v>0.05</v>
      </c>
      <c r="G904" s="27">
        <v>125.86</v>
      </c>
      <c r="H904" s="27">
        <v>25.17</v>
      </c>
      <c r="I904" s="27">
        <v>151.03</v>
      </c>
    </row>
    <row r="905" ht="15" customHeight="1" spans="1:9">
      <c r="A905" t="s">
        <v>1873</v>
      </c>
      <c r="B905" t="s">
        <v>937</v>
      </c>
      <c r="C905" t="s">
        <v>438</v>
      </c>
      <c r="D905">
        <v>1</v>
      </c>
      <c r="E905" s="27">
        <v>295.97</v>
      </c>
      <c r="F905" s="28">
        <v>0.1</v>
      </c>
      <c r="G905" s="27">
        <v>266.37</v>
      </c>
      <c r="H905" s="27">
        <v>53.27</v>
      </c>
      <c r="I905" s="27">
        <v>319.64</v>
      </c>
    </row>
    <row r="906" ht="15" customHeight="1" spans="1:9">
      <c r="A906" t="s">
        <v>1874</v>
      </c>
      <c r="B906" t="s">
        <v>937</v>
      </c>
      <c r="C906" t="s">
        <v>473</v>
      </c>
      <c r="D906">
        <v>1</v>
      </c>
      <c r="E906" s="27">
        <v>40.73</v>
      </c>
      <c r="F906" s="28">
        <v>0.15</v>
      </c>
      <c r="G906" s="27">
        <v>34.62</v>
      </c>
      <c r="H906" s="27">
        <v>6.92</v>
      </c>
      <c r="I906" s="27">
        <v>41.54</v>
      </c>
    </row>
    <row r="907" ht="15" customHeight="1" spans="1:9">
      <c r="A907" t="s">
        <v>1875</v>
      </c>
      <c r="B907" t="s">
        <v>938</v>
      </c>
      <c r="C907" t="s">
        <v>412</v>
      </c>
      <c r="D907">
        <v>1</v>
      </c>
      <c r="E907" s="27">
        <v>114.1</v>
      </c>
      <c r="F907" s="28">
        <v>0.05</v>
      </c>
      <c r="G907" s="27">
        <v>108.39</v>
      </c>
      <c r="H907" s="27">
        <v>21.68</v>
      </c>
      <c r="I907" s="27">
        <v>130.07</v>
      </c>
    </row>
    <row r="908" ht="15" customHeight="1" spans="1:9">
      <c r="A908" t="s">
        <v>1876</v>
      </c>
      <c r="B908" t="s">
        <v>938</v>
      </c>
      <c r="C908" t="s">
        <v>448</v>
      </c>
      <c r="D908">
        <v>3</v>
      </c>
      <c r="E908" s="27">
        <v>543.43</v>
      </c>
      <c r="F908" s="28">
        <v>0</v>
      </c>
      <c r="G908" s="27">
        <v>1630.29</v>
      </c>
      <c r="H908" s="27">
        <v>326.06</v>
      </c>
      <c r="I908" s="27">
        <v>1956.35</v>
      </c>
    </row>
    <row r="909" ht="15" customHeight="1" spans="1:9">
      <c r="A909" t="s">
        <v>1877</v>
      </c>
      <c r="B909" t="s">
        <v>939</v>
      </c>
      <c r="C909" t="s">
        <v>366</v>
      </c>
      <c r="D909">
        <v>4</v>
      </c>
      <c r="E909" s="27">
        <v>1103.64</v>
      </c>
      <c r="F909" s="28">
        <v>0</v>
      </c>
      <c r="G909" s="27">
        <v>4414.56</v>
      </c>
      <c r="H909" s="27">
        <v>882.91</v>
      </c>
      <c r="I909" s="27">
        <v>5297.47</v>
      </c>
    </row>
    <row r="910" ht="15" customHeight="1" spans="1:9">
      <c r="A910" t="s">
        <v>1878</v>
      </c>
      <c r="B910" t="s">
        <v>939</v>
      </c>
      <c r="C910" t="s">
        <v>423</v>
      </c>
      <c r="D910">
        <v>4</v>
      </c>
      <c r="E910" s="27">
        <v>46.02</v>
      </c>
      <c r="F910" s="28">
        <v>0</v>
      </c>
      <c r="G910" s="27">
        <v>184.08</v>
      </c>
      <c r="H910" s="27">
        <v>36.82</v>
      </c>
      <c r="I910" s="27">
        <v>220.9</v>
      </c>
    </row>
    <row r="911" ht="15" customHeight="1" spans="1:9">
      <c r="A911" t="s">
        <v>1879</v>
      </c>
      <c r="B911" t="s">
        <v>939</v>
      </c>
      <c r="C911" t="s">
        <v>442</v>
      </c>
      <c r="D911">
        <v>1</v>
      </c>
      <c r="E911" s="27">
        <v>374.59</v>
      </c>
      <c r="F911" s="28">
        <v>0.05</v>
      </c>
      <c r="G911" s="27">
        <v>355.86</v>
      </c>
      <c r="H911" s="27">
        <v>71.17</v>
      </c>
      <c r="I911" s="27">
        <v>427.03</v>
      </c>
    </row>
    <row r="912" ht="15" customHeight="1" spans="1:9">
      <c r="A912" t="s">
        <v>1880</v>
      </c>
      <c r="B912" t="s">
        <v>940</v>
      </c>
      <c r="C912" t="s">
        <v>374</v>
      </c>
      <c r="D912">
        <v>2</v>
      </c>
      <c r="E912" s="27">
        <v>251.56</v>
      </c>
      <c r="F912" s="28">
        <v>0.15</v>
      </c>
      <c r="G912" s="27">
        <v>427.65</v>
      </c>
      <c r="H912" s="27">
        <v>85.53</v>
      </c>
      <c r="I912" s="27">
        <v>513.18</v>
      </c>
    </row>
    <row r="913" ht="15" customHeight="1" spans="1:9">
      <c r="A913" t="s">
        <v>1881</v>
      </c>
      <c r="B913" t="s">
        <v>940</v>
      </c>
      <c r="C913" t="s">
        <v>421</v>
      </c>
      <c r="D913">
        <v>4</v>
      </c>
      <c r="E913" s="27">
        <v>78.78</v>
      </c>
      <c r="F913" s="28">
        <v>0</v>
      </c>
      <c r="G913" s="27">
        <v>315.12</v>
      </c>
      <c r="H913" s="27">
        <v>63.02</v>
      </c>
      <c r="I913" s="27">
        <v>378.14</v>
      </c>
    </row>
    <row r="914" ht="15" customHeight="1" spans="1:9">
      <c r="A914" t="s">
        <v>1882</v>
      </c>
      <c r="B914" t="s">
        <v>940</v>
      </c>
      <c r="C914" t="s">
        <v>423</v>
      </c>
      <c r="D914">
        <v>1</v>
      </c>
      <c r="E914" s="27">
        <v>46.02</v>
      </c>
      <c r="F914" s="28">
        <v>0.1</v>
      </c>
      <c r="G914" s="27">
        <v>41.42</v>
      </c>
      <c r="H914" s="27">
        <v>8.28</v>
      </c>
      <c r="I914" s="27">
        <v>49.7</v>
      </c>
    </row>
    <row r="915" ht="15" customHeight="1" spans="1:9">
      <c r="A915" t="s">
        <v>1883</v>
      </c>
      <c r="B915" t="s">
        <v>941</v>
      </c>
      <c r="C915" t="s">
        <v>417</v>
      </c>
      <c r="D915">
        <v>1</v>
      </c>
      <c r="E915" s="27">
        <v>59.79</v>
      </c>
      <c r="F915" s="28">
        <v>0</v>
      </c>
      <c r="G915" s="27">
        <v>59.79</v>
      </c>
      <c r="H915" s="27">
        <v>11.96</v>
      </c>
      <c r="I915" s="27">
        <v>71.75</v>
      </c>
    </row>
    <row r="916" ht="15" customHeight="1" spans="1:9">
      <c r="A916" t="s">
        <v>1884</v>
      </c>
      <c r="B916" t="s">
        <v>942</v>
      </c>
      <c r="C916" t="s">
        <v>408</v>
      </c>
      <c r="D916">
        <v>2</v>
      </c>
      <c r="E916" s="27">
        <v>19.65</v>
      </c>
      <c r="F916" s="28">
        <v>0.05</v>
      </c>
      <c r="G916" s="27">
        <v>37.33</v>
      </c>
      <c r="H916" s="27">
        <v>7.47</v>
      </c>
      <c r="I916" s="27">
        <v>44.8</v>
      </c>
    </row>
    <row r="917" ht="15" customHeight="1" spans="1:9">
      <c r="A917" t="s">
        <v>1885</v>
      </c>
      <c r="B917" t="s">
        <v>942</v>
      </c>
      <c r="C917" t="s">
        <v>408</v>
      </c>
      <c r="D917">
        <v>1</v>
      </c>
      <c r="E917" s="27">
        <v>19.65</v>
      </c>
      <c r="F917" s="28">
        <v>0</v>
      </c>
      <c r="G917" s="27">
        <v>19.65</v>
      </c>
      <c r="H917" s="27">
        <v>3.93</v>
      </c>
      <c r="I917" s="27">
        <v>23.58</v>
      </c>
    </row>
    <row r="918" ht="15" customHeight="1" spans="1:9">
      <c r="A918" t="s">
        <v>1886</v>
      </c>
      <c r="B918" t="s">
        <v>943</v>
      </c>
      <c r="C918" t="s">
        <v>463</v>
      </c>
      <c r="D918">
        <v>5</v>
      </c>
      <c r="E918" s="27">
        <v>73.02</v>
      </c>
      <c r="F918" s="28">
        <v>0</v>
      </c>
      <c r="G918" s="27">
        <v>365.1</v>
      </c>
      <c r="H918" s="27">
        <v>73.02</v>
      </c>
      <c r="I918" s="27">
        <v>438.12</v>
      </c>
    </row>
    <row r="919" ht="15" customHeight="1" spans="1:9">
      <c r="A919" t="s">
        <v>1887</v>
      </c>
      <c r="B919" t="s">
        <v>943</v>
      </c>
      <c r="C919" t="s">
        <v>398</v>
      </c>
      <c r="D919">
        <v>4</v>
      </c>
      <c r="E919" s="27">
        <v>383.91</v>
      </c>
      <c r="F919" s="28">
        <v>0.05</v>
      </c>
      <c r="G919" s="27">
        <v>1458.86</v>
      </c>
      <c r="H919" s="27">
        <v>291.77</v>
      </c>
      <c r="I919" s="27">
        <v>1750.63</v>
      </c>
    </row>
    <row r="920" ht="15" customHeight="1" spans="1:9">
      <c r="A920" t="s">
        <v>1888</v>
      </c>
      <c r="B920" t="s">
        <v>944</v>
      </c>
      <c r="C920" t="s">
        <v>387</v>
      </c>
      <c r="D920">
        <v>2</v>
      </c>
      <c r="E920" s="27">
        <v>37.91</v>
      </c>
      <c r="F920" s="28">
        <v>0.05</v>
      </c>
      <c r="G920" s="27">
        <v>72.03</v>
      </c>
      <c r="H920" s="27">
        <v>14.41</v>
      </c>
      <c r="I920" s="27">
        <v>86.44</v>
      </c>
    </row>
    <row r="921" ht="15" customHeight="1" spans="1:9">
      <c r="A921" t="s">
        <v>1889</v>
      </c>
      <c r="B921" t="s">
        <v>945</v>
      </c>
      <c r="C921" t="s">
        <v>431</v>
      </c>
      <c r="D921">
        <v>3</v>
      </c>
      <c r="E921" s="27">
        <v>47.74</v>
      </c>
      <c r="F921" s="28">
        <v>0</v>
      </c>
      <c r="G921" s="27">
        <v>143.22</v>
      </c>
      <c r="H921" s="27">
        <v>28.64</v>
      </c>
      <c r="I921" s="27">
        <v>171.86</v>
      </c>
    </row>
    <row r="922" ht="15" customHeight="1" spans="1:9">
      <c r="A922" t="s">
        <v>1890</v>
      </c>
      <c r="B922" t="s">
        <v>945</v>
      </c>
      <c r="C922" t="s">
        <v>410</v>
      </c>
      <c r="D922">
        <v>1</v>
      </c>
      <c r="E922" s="27">
        <v>106.93</v>
      </c>
      <c r="F922" s="28">
        <v>0</v>
      </c>
      <c r="G922" s="27">
        <v>106.93</v>
      </c>
      <c r="H922" s="27">
        <v>21.39</v>
      </c>
      <c r="I922" s="27">
        <v>128.32</v>
      </c>
    </row>
    <row r="923" ht="15" customHeight="1" spans="1:9">
      <c r="A923" t="s">
        <v>1891</v>
      </c>
      <c r="B923" t="s">
        <v>946</v>
      </c>
      <c r="C923" t="s">
        <v>461</v>
      </c>
      <c r="D923">
        <v>2</v>
      </c>
      <c r="E923" s="27">
        <v>59.83</v>
      </c>
      <c r="F923" s="28">
        <v>0.1</v>
      </c>
      <c r="G923" s="27">
        <v>107.69</v>
      </c>
      <c r="H923" s="27">
        <v>21.54</v>
      </c>
      <c r="I923" s="27">
        <v>129.23</v>
      </c>
    </row>
    <row r="924" ht="15" customHeight="1" spans="1:9">
      <c r="A924" t="s">
        <v>1892</v>
      </c>
      <c r="B924" t="s">
        <v>946</v>
      </c>
      <c r="C924" t="s">
        <v>431</v>
      </c>
      <c r="D924">
        <v>2</v>
      </c>
      <c r="E924" s="27">
        <v>47.74</v>
      </c>
      <c r="F924" s="28">
        <v>0.1</v>
      </c>
      <c r="G924" s="27">
        <v>85.93</v>
      </c>
      <c r="H924" s="27">
        <v>17.19</v>
      </c>
      <c r="I924" s="27">
        <v>103.12</v>
      </c>
    </row>
    <row r="925" ht="15" customHeight="1" spans="1:9">
      <c r="A925" t="s">
        <v>1893</v>
      </c>
      <c r="B925" t="s">
        <v>947</v>
      </c>
      <c r="C925" t="s">
        <v>410</v>
      </c>
      <c r="D925">
        <v>3</v>
      </c>
      <c r="E925" s="27">
        <v>106.93</v>
      </c>
      <c r="F925" s="28">
        <v>0</v>
      </c>
      <c r="G925" s="27">
        <v>320.79</v>
      </c>
      <c r="H925" s="27">
        <v>64.16</v>
      </c>
      <c r="I925" s="27">
        <v>384.95</v>
      </c>
    </row>
    <row r="926" ht="15" customHeight="1" spans="1:9">
      <c r="A926" t="s">
        <v>1894</v>
      </c>
      <c r="B926" t="s">
        <v>947</v>
      </c>
      <c r="C926" t="s">
        <v>391</v>
      </c>
      <c r="D926">
        <v>1</v>
      </c>
      <c r="E926" s="27">
        <v>138.13</v>
      </c>
      <c r="F926" s="28">
        <v>0.05</v>
      </c>
      <c r="G926" s="27">
        <v>131.22</v>
      </c>
      <c r="H926" s="27">
        <v>26.24</v>
      </c>
      <c r="I926" s="27">
        <v>157.46</v>
      </c>
    </row>
    <row r="927" ht="15" customHeight="1" spans="1:9">
      <c r="A927" t="s">
        <v>1895</v>
      </c>
      <c r="B927" t="s">
        <v>948</v>
      </c>
      <c r="C927" t="s">
        <v>387</v>
      </c>
      <c r="D927">
        <v>1</v>
      </c>
      <c r="E927" s="27">
        <v>37.91</v>
      </c>
      <c r="F927" s="28">
        <v>0</v>
      </c>
      <c r="G927" s="27">
        <v>37.91</v>
      </c>
      <c r="H927" s="27">
        <v>7.58</v>
      </c>
      <c r="I927" s="27">
        <v>45.49</v>
      </c>
    </row>
    <row r="928" ht="15" customHeight="1" spans="1:9">
      <c r="A928" t="s">
        <v>1896</v>
      </c>
      <c r="B928" t="s">
        <v>949</v>
      </c>
      <c r="C928" t="s">
        <v>419</v>
      </c>
      <c r="D928">
        <v>1</v>
      </c>
      <c r="E928" s="27">
        <v>100.34</v>
      </c>
      <c r="F928" s="28">
        <v>0.05</v>
      </c>
      <c r="G928" s="27">
        <v>95.32</v>
      </c>
      <c r="H928" s="27">
        <v>19.06</v>
      </c>
      <c r="I928" s="27">
        <v>114.38</v>
      </c>
    </row>
    <row r="929" ht="15" customHeight="1" spans="1:9">
      <c r="A929" t="s">
        <v>1897</v>
      </c>
      <c r="B929" t="s">
        <v>949</v>
      </c>
      <c r="C929" t="s">
        <v>444</v>
      </c>
      <c r="D929">
        <v>8</v>
      </c>
      <c r="E929" s="27">
        <v>442.3</v>
      </c>
      <c r="F929" s="28">
        <v>0.1</v>
      </c>
      <c r="G929" s="27">
        <v>3184.56</v>
      </c>
      <c r="H929" s="27">
        <v>636.91</v>
      </c>
      <c r="I929" s="27">
        <v>3821.47</v>
      </c>
    </row>
    <row r="930" ht="15" customHeight="1" spans="1:9">
      <c r="A930" t="s">
        <v>1898</v>
      </c>
      <c r="B930" t="s">
        <v>949</v>
      </c>
      <c r="C930" t="s">
        <v>412</v>
      </c>
      <c r="D930">
        <v>1</v>
      </c>
      <c r="E930" s="27">
        <v>114.1</v>
      </c>
      <c r="F930" s="28">
        <v>0</v>
      </c>
      <c r="G930" s="27">
        <v>114.1</v>
      </c>
      <c r="H930" s="27">
        <v>22.82</v>
      </c>
      <c r="I930" s="27">
        <v>136.92</v>
      </c>
    </row>
    <row r="931" ht="15" customHeight="1" spans="1:9">
      <c r="A931" t="s">
        <v>1899</v>
      </c>
      <c r="B931" t="s">
        <v>950</v>
      </c>
      <c r="C931" t="s">
        <v>471</v>
      </c>
      <c r="D931">
        <v>2</v>
      </c>
      <c r="E931" s="27">
        <v>35.83</v>
      </c>
      <c r="F931" s="28">
        <v>0.1</v>
      </c>
      <c r="G931" s="27">
        <v>64.49</v>
      </c>
      <c r="H931" s="27">
        <v>12.9</v>
      </c>
      <c r="I931" s="27">
        <v>77.39</v>
      </c>
    </row>
    <row r="932" ht="15" customHeight="1" spans="1:9">
      <c r="A932" t="s">
        <v>1900</v>
      </c>
      <c r="B932" t="s">
        <v>951</v>
      </c>
      <c r="C932" t="s">
        <v>387</v>
      </c>
      <c r="D932">
        <v>3</v>
      </c>
      <c r="E932" s="27">
        <v>37.91</v>
      </c>
      <c r="F932" s="28">
        <v>0</v>
      </c>
      <c r="G932" s="27">
        <v>113.73</v>
      </c>
      <c r="H932" s="27">
        <v>22.75</v>
      </c>
      <c r="I932" s="27">
        <v>136.48</v>
      </c>
    </row>
    <row r="933" ht="15" customHeight="1" spans="1:9">
      <c r="A933" t="s">
        <v>1901</v>
      </c>
      <c r="B933" t="s">
        <v>951</v>
      </c>
      <c r="C933" t="s">
        <v>389</v>
      </c>
      <c r="D933">
        <v>2</v>
      </c>
      <c r="E933" s="27">
        <v>120.37</v>
      </c>
      <c r="F933" s="28">
        <v>0</v>
      </c>
      <c r="G933" s="27">
        <v>240.74</v>
      </c>
      <c r="H933" s="27">
        <v>48.15</v>
      </c>
      <c r="I933" s="27">
        <v>288.89</v>
      </c>
    </row>
    <row r="934" ht="15" customHeight="1" spans="1:9">
      <c r="A934" t="s">
        <v>1902</v>
      </c>
      <c r="B934" t="s">
        <v>952</v>
      </c>
      <c r="C934" t="s">
        <v>459</v>
      </c>
      <c r="D934">
        <v>1</v>
      </c>
      <c r="E934" s="27">
        <v>70.8</v>
      </c>
      <c r="F934" s="28">
        <v>0.1</v>
      </c>
      <c r="G934" s="27">
        <v>63.72</v>
      </c>
      <c r="H934" s="27">
        <v>12.74</v>
      </c>
      <c r="I934" s="27">
        <v>76.46</v>
      </c>
    </row>
    <row r="935" ht="15" customHeight="1" spans="1:9">
      <c r="A935" t="s">
        <v>1903</v>
      </c>
      <c r="B935" t="s">
        <v>953</v>
      </c>
      <c r="C935" t="s">
        <v>425</v>
      </c>
      <c r="D935">
        <v>1</v>
      </c>
      <c r="E935" s="27">
        <v>36.08</v>
      </c>
      <c r="F935" s="28">
        <v>0</v>
      </c>
      <c r="G935" s="27">
        <v>36.08</v>
      </c>
      <c r="H935" s="27">
        <v>7.22</v>
      </c>
      <c r="I935" s="27">
        <v>43.3</v>
      </c>
    </row>
    <row r="936" ht="15" customHeight="1" spans="1:9">
      <c r="A936" t="s">
        <v>1904</v>
      </c>
      <c r="B936" t="s">
        <v>953</v>
      </c>
      <c r="C936" t="s">
        <v>452</v>
      </c>
      <c r="D936">
        <v>2</v>
      </c>
      <c r="E936" s="27">
        <v>381.57</v>
      </c>
      <c r="F936" s="28">
        <v>0</v>
      </c>
      <c r="G936" s="27">
        <v>763.14</v>
      </c>
      <c r="H936" s="27">
        <v>152.63</v>
      </c>
      <c r="I936" s="27">
        <v>915.77</v>
      </c>
    </row>
    <row r="937" ht="15" customHeight="1" spans="1:9">
      <c r="A937" t="s">
        <v>1905</v>
      </c>
      <c r="B937" t="s">
        <v>953</v>
      </c>
      <c r="C937" t="s">
        <v>461</v>
      </c>
      <c r="D937">
        <v>1</v>
      </c>
      <c r="E937" s="27">
        <v>59.83</v>
      </c>
      <c r="F937" s="28">
        <v>0</v>
      </c>
      <c r="G937" s="27">
        <v>59.83</v>
      </c>
      <c r="H937" s="27">
        <v>11.97</v>
      </c>
      <c r="I937" s="27">
        <v>71.8</v>
      </c>
    </row>
    <row r="938" ht="15" customHeight="1" spans="1:9">
      <c r="A938" t="s">
        <v>1906</v>
      </c>
      <c r="B938" t="s">
        <v>953</v>
      </c>
      <c r="C938" t="s">
        <v>467</v>
      </c>
      <c r="D938">
        <v>4</v>
      </c>
      <c r="E938" s="27">
        <v>49.53</v>
      </c>
      <c r="F938" s="28">
        <v>0</v>
      </c>
      <c r="G938" s="27">
        <v>198.12</v>
      </c>
      <c r="H938" s="27">
        <v>39.62</v>
      </c>
      <c r="I938" s="27">
        <v>237.74</v>
      </c>
    </row>
    <row r="939" ht="15" customHeight="1" spans="1:9">
      <c r="A939" t="s">
        <v>1907</v>
      </c>
      <c r="B939" t="s">
        <v>953</v>
      </c>
      <c r="C939" t="s">
        <v>423</v>
      </c>
      <c r="D939">
        <v>1</v>
      </c>
      <c r="E939" s="27">
        <v>46.02</v>
      </c>
      <c r="F939" s="28">
        <v>0</v>
      </c>
      <c r="G939" s="27">
        <v>46.02</v>
      </c>
      <c r="H939" s="27">
        <v>9.2</v>
      </c>
      <c r="I939" s="27">
        <v>55.22</v>
      </c>
    </row>
    <row r="940" ht="15" customHeight="1" spans="1:9">
      <c r="A940" t="s">
        <v>1908</v>
      </c>
      <c r="B940" t="s">
        <v>954</v>
      </c>
      <c r="C940" t="s">
        <v>431</v>
      </c>
      <c r="D940">
        <v>3</v>
      </c>
      <c r="E940" s="27">
        <v>47.74</v>
      </c>
      <c r="F940" s="28">
        <v>0.05</v>
      </c>
      <c r="G940" s="27">
        <v>136.06</v>
      </c>
      <c r="H940" s="27">
        <v>27.21</v>
      </c>
      <c r="I940" s="27">
        <v>163.27</v>
      </c>
    </row>
    <row r="941" ht="15" customHeight="1" spans="1:9">
      <c r="A941" t="s">
        <v>1909</v>
      </c>
      <c r="B941" t="s">
        <v>954</v>
      </c>
      <c r="C941" t="s">
        <v>431</v>
      </c>
      <c r="D941">
        <v>1</v>
      </c>
      <c r="E941" s="27">
        <v>47.74</v>
      </c>
      <c r="F941" s="28">
        <v>0.15</v>
      </c>
      <c r="G941" s="27">
        <v>40.58</v>
      </c>
      <c r="H941" s="27">
        <v>8.12</v>
      </c>
      <c r="I941" s="27">
        <v>48.7</v>
      </c>
    </row>
    <row r="942" ht="15" customHeight="1" spans="1:9">
      <c r="A942" t="s">
        <v>1910</v>
      </c>
      <c r="B942" t="s">
        <v>954</v>
      </c>
      <c r="C942" t="s">
        <v>429</v>
      </c>
      <c r="D942">
        <v>3</v>
      </c>
      <c r="E942" s="27">
        <v>32.75</v>
      </c>
      <c r="F942" s="28">
        <v>0.05</v>
      </c>
      <c r="G942" s="27">
        <v>93.34</v>
      </c>
      <c r="H942" s="27">
        <v>18.67</v>
      </c>
      <c r="I942" s="27">
        <v>112.01</v>
      </c>
    </row>
    <row r="943" ht="15" customHeight="1" spans="1:9">
      <c r="A943" t="s">
        <v>1911</v>
      </c>
      <c r="B943" t="s">
        <v>955</v>
      </c>
      <c r="C943" t="s">
        <v>442</v>
      </c>
      <c r="D943">
        <v>10</v>
      </c>
      <c r="E943" s="27">
        <v>374.59</v>
      </c>
      <c r="F943" s="28">
        <v>0</v>
      </c>
      <c r="G943" s="27">
        <v>3745.9</v>
      </c>
      <c r="H943" s="27">
        <v>749.18</v>
      </c>
      <c r="I943" s="27">
        <v>4495.08</v>
      </c>
    </row>
    <row r="944" ht="15" customHeight="1" spans="1:9">
      <c r="A944" t="s">
        <v>1912</v>
      </c>
      <c r="B944" t="s">
        <v>955</v>
      </c>
      <c r="C944" t="s">
        <v>450</v>
      </c>
      <c r="D944">
        <v>3</v>
      </c>
      <c r="E944" s="27">
        <v>538.29</v>
      </c>
      <c r="F944" s="28">
        <v>0</v>
      </c>
      <c r="G944" s="27">
        <v>1614.87</v>
      </c>
      <c r="H944" s="27">
        <v>322.97</v>
      </c>
      <c r="I944" s="27">
        <v>1937.84</v>
      </c>
    </row>
    <row r="945" ht="15" customHeight="1" spans="1:9">
      <c r="A945" t="s">
        <v>1913</v>
      </c>
      <c r="B945" t="s">
        <v>955</v>
      </c>
      <c r="C945" t="s">
        <v>366</v>
      </c>
      <c r="D945">
        <v>1</v>
      </c>
      <c r="E945" s="27">
        <v>1103.64</v>
      </c>
      <c r="F945" s="28">
        <v>0</v>
      </c>
      <c r="G945" s="27">
        <v>1103.64</v>
      </c>
      <c r="H945" s="27">
        <v>220.73</v>
      </c>
      <c r="I945" s="27">
        <v>1324.37</v>
      </c>
    </row>
    <row r="946" ht="15" customHeight="1" spans="1:9">
      <c r="A946" t="s">
        <v>1914</v>
      </c>
      <c r="B946" t="s">
        <v>955</v>
      </c>
      <c r="C946" t="s">
        <v>427</v>
      </c>
      <c r="D946">
        <v>1</v>
      </c>
      <c r="E946" s="27">
        <v>25.25</v>
      </c>
      <c r="F946" s="28">
        <v>0.05</v>
      </c>
      <c r="G946" s="27">
        <v>23.99</v>
      </c>
      <c r="H946" s="27">
        <v>4.8</v>
      </c>
      <c r="I946" s="27">
        <v>28.79</v>
      </c>
    </row>
    <row r="947" ht="15" customHeight="1" spans="1:9">
      <c r="A947" t="s">
        <v>1915</v>
      </c>
      <c r="B947" t="s">
        <v>955</v>
      </c>
      <c r="C947" t="s">
        <v>467</v>
      </c>
      <c r="D947">
        <v>2</v>
      </c>
      <c r="E947" s="27">
        <v>49.53</v>
      </c>
      <c r="F947" s="28">
        <v>0</v>
      </c>
      <c r="G947" s="27">
        <v>99.06</v>
      </c>
      <c r="H947" s="27">
        <v>19.81</v>
      </c>
      <c r="I947" s="27">
        <v>118.87</v>
      </c>
    </row>
    <row r="948" ht="15" customHeight="1" spans="1:9">
      <c r="A948" t="s">
        <v>1916</v>
      </c>
      <c r="B948" t="s">
        <v>956</v>
      </c>
      <c r="C948" t="s">
        <v>412</v>
      </c>
      <c r="D948">
        <v>2</v>
      </c>
      <c r="E948" s="27">
        <v>114.1</v>
      </c>
      <c r="F948" s="28">
        <v>0.15</v>
      </c>
      <c r="G948" s="27">
        <v>193.97</v>
      </c>
      <c r="H948" s="27">
        <v>38.79</v>
      </c>
      <c r="I948" s="27">
        <v>232.76</v>
      </c>
    </row>
    <row r="949" ht="15" customHeight="1" spans="1:9">
      <c r="A949" t="s">
        <v>1917</v>
      </c>
      <c r="B949" t="s">
        <v>956</v>
      </c>
      <c r="C949" t="s">
        <v>433</v>
      </c>
      <c r="D949">
        <v>1</v>
      </c>
      <c r="E949" s="27">
        <v>58.14</v>
      </c>
      <c r="F949" s="28">
        <v>0</v>
      </c>
      <c r="G949" s="27">
        <v>58.14</v>
      </c>
      <c r="H949" s="27">
        <v>11.63</v>
      </c>
      <c r="I949" s="27">
        <v>69.77</v>
      </c>
    </row>
    <row r="950" ht="15" customHeight="1" spans="1:9">
      <c r="A950" t="s">
        <v>1918</v>
      </c>
      <c r="B950" t="s">
        <v>956</v>
      </c>
      <c r="C950" t="s">
        <v>391</v>
      </c>
      <c r="D950">
        <v>1</v>
      </c>
      <c r="E950" s="27">
        <v>138.13</v>
      </c>
      <c r="F950" s="28">
        <v>0.15</v>
      </c>
      <c r="G950" s="27">
        <v>117.41</v>
      </c>
      <c r="H950" s="27">
        <v>23.48</v>
      </c>
      <c r="I950" s="27">
        <v>140.89</v>
      </c>
    </row>
    <row r="951" ht="15" customHeight="1" spans="1:9">
      <c r="A951" t="s">
        <v>1919</v>
      </c>
      <c r="B951" t="s">
        <v>957</v>
      </c>
      <c r="C951" t="s">
        <v>473</v>
      </c>
      <c r="D951">
        <v>1</v>
      </c>
      <c r="E951" s="27">
        <v>40.73</v>
      </c>
      <c r="F951" s="28">
        <v>0</v>
      </c>
      <c r="G951" s="27">
        <v>40.73</v>
      </c>
      <c r="H951" s="27">
        <v>8.15</v>
      </c>
      <c r="I951" s="27">
        <v>48.88</v>
      </c>
    </row>
    <row r="952" ht="15" customHeight="1" spans="1:9">
      <c r="A952" t="s">
        <v>1920</v>
      </c>
      <c r="B952" t="s">
        <v>958</v>
      </c>
      <c r="C952" t="s">
        <v>387</v>
      </c>
      <c r="D952">
        <v>1</v>
      </c>
      <c r="E952" s="27">
        <v>37.91</v>
      </c>
      <c r="F952" s="28">
        <v>0.15</v>
      </c>
      <c r="G952" s="27">
        <v>32.22</v>
      </c>
      <c r="H952" s="27">
        <v>6.44</v>
      </c>
      <c r="I952" s="27">
        <v>38.66</v>
      </c>
    </row>
    <row r="953" ht="15" customHeight="1" spans="1:9">
      <c r="A953" t="s">
        <v>1921</v>
      </c>
      <c r="B953" t="s">
        <v>958</v>
      </c>
      <c r="C953" t="s">
        <v>448</v>
      </c>
      <c r="D953">
        <v>1</v>
      </c>
      <c r="E953" s="27">
        <v>543.43</v>
      </c>
      <c r="F953" s="28">
        <v>0</v>
      </c>
      <c r="G953" s="27">
        <v>543.43</v>
      </c>
      <c r="H953" s="27">
        <v>108.69</v>
      </c>
      <c r="I953" s="27">
        <v>652.12</v>
      </c>
    </row>
    <row r="954" ht="15" customHeight="1" spans="1:9">
      <c r="A954" t="s">
        <v>1922</v>
      </c>
      <c r="B954" t="s">
        <v>958</v>
      </c>
      <c r="C954" t="s">
        <v>393</v>
      </c>
      <c r="D954">
        <v>2</v>
      </c>
      <c r="E954" s="27">
        <v>196.18</v>
      </c>
      <c r="F954" s="28">
        <v>0</v>
      </c>
      <c r="G954" s="27">
        <v>392.36</v>
      </c>
      <c r="H954" s="27">
        <v>78.47</v>
      </c>
      <c r="I954" s="27">
        <v>470.83</v>
      </c>
    </row>
    <row r="955" ht="15" customHeight="1" spans="1:9">
      <c r="A955" t="s">
        <v>1923</v>
      </c>
      <c r="B955" t="s">
        <v>958</v>
      </c>
      <c r="C955" t="s">
        <v>414</v>
      </c>
      <c r="D955">
        <v>2</v>
      </c>
      <c r="E955" s="27">
        <v>63.96</v>
      </c>
      <c r="F955" s="28">
        <v>0.15</v>
      </c>
      <c r="G955" s="27">
        <v>108.73</v>
      </c>
      <c r="H955" s="27">
        <v>21.75</v>
      </c>
      <c r="I955" s="27">
        <v>130.48</v>
      </c>
    </row>
    <row r="956" ht="15" customHeight="1" spans="1:9">
      <c r="A956" t="s">
        <v>1924</v>
      </c>
      <c r="B956" t="s">
        <v>958</v>
      </c>
      <c r="C956" t="s">
        <v>389</v>
      </c>
      <c r="D956">
        <v>1</v>
      </c>
      <c r="E956" s="27">
        <v>120.37</v>
      </c>
      <c r="F956" s="28">
        <v>0</v>
      </c>
      <c r="G956" s="27">
        <v>120.37</v>
      </c>
      <c r="H956" s="27">
        <v>24.07</v>
      </c>
      <c r="I956" s="27">
        <v>144.44</v>
      </c>
    </row>
    <row r="957" ht="15" customHeight="1" spans="1:9">
      <c r="A957" t="s">
        <v>1925</v>
      </c>
      <c r="B957" t="s">
        <v>959</v>
      </c>
      <c r="C957" t="s">
        <v>475</v>
      </c>
      <c r="D957">
        <v>2</v>
      </c>
      <c r="E957" s="27">
        <v>42</v>
      </c>
      <c r="F957" s="28">
        <v>0</v>
      </c>
      <c r="G957" s="27">
        <v>84</v>
      </c>
      <c r="H957" s="27">
        <v>16.8</v>
      </c>
      <c r="I957" s="27">
        <v>100.8</v>
      </c>
    </row>
    <row r="958" ht="15" customHeight="1" spans="1:9">
      <c r="A958" t="s">
        <v>1926</v>
      </c>
      <c r="B958" t="s">
        <v>959</v>
      </c>
      <c r="C958" t="s">
        <v>452</v>
      </c>
      <c r="D958">
        <v>3</v>
      </c>
      <c r="E958" s="27">
        <v>381.57</v>
      </c>
      <c r="F958" s="28">
        <v>0.1</v>
      </c>
      <c r="G958" s="27">
        <v>1030.24</v>
      </c>
      <c r="H958" s="27">
        <v>206.05</v>
      </c>
      <c r="I958" s="27">
        <v>1236.29</v>
      </c>
    </row>
    <row r="959" ht="15" customHeight="1" spans="1:9">
      <c r="A959" t="s">
        <v>1927</v>
      </c>
      <c r="B959" t="s">
        <v>960</v>
      </c>
      <c r="C959" t="s">
        <v>419</v>
      </c>
      <c r="D959">
        <v>3</v>
      </c>
      <c r="E959" s="27">
        <v>100.34</v>
      </c>
      <c r="F959" s="28">
        <v>0</v>
      </c>
      <c r="G959" s="27">
        <v>301.02</v>
      </c>
      <c r="H959" s="27">
        <v>60.2</v>
      </c>
      <c r="I959" s="27">
        <v>361.22</v>
      </c>
    </row>
    <row r="960" ht="15" customHeight="1" spans="1:9">
      <c r="A960" t="s">
        <v>1928</v>
      </c>
      <c r="B960" t="s">
        <v>960</v>
      </c>
      <c r="C960" t="s">
        <v>389</v>
      </c>
      <c r="D960">
        <v>2</v>
      </c>
      <c r="E960" s="27">
        <v>120.37</v>
      </c>
      <c r="F960" s="28">
        <v>0</v>
      </c>
      <c r="G960" s="27">
        <v>240.74</v>
      </c>
      <c r="H960" s="27">
        <v>48.15</v>
      </c>
      <c r="I960" s="27">
        <v>288.89</v>
      </c>
    </row>
    <row r="961" ht="15" customHeight="1" spans="1:9">
      <c r="A961" t="s">
        <v>1929</v>
      </c>
      <c r="B961" t="s">
        <v>961</v>
      </c>
      <c r="C961" t="s">
        <v>446</v>
      </c>
      <c r="D961">
        <v>2</v>
      </c>
      <c r="E961" s="27">
        <v>454.43</v>
      </c>
      <c r="F961" s="28">
        <v>0.1</v>
      </c>
      <c r="G961" s="27">
        <v>817.97</v>
      </c>
      <c r="H961" s="27">
        <v>163.59</v>
      </c>
      <c r="I961" s="27">
        <v>981.56</v>
      </c>
    </row>
    <row r="962" ht="15" customHeight="1" spans="1:9">
      <c r="A962" t="s">
        <v>1930</v>
      </c>
      <c r="B962" t="s">
        <v>961</v>
      </c>
      <c r="C962" t="s">
        <v>444</v>
      </c>
      <c r="D962">
        <v>3</v>
      </c>
      <c r="E962" s="27">
        <v>442.3</v>
      </c>
      <c r="F962" s="28">
        <v>0.15</v>
      </c>
      <c r="G962" s="27">
        <v>1127.87</v>
      </c>
      <c r="H962" s="27">
        <v>225.57</v>
      </c>
      <c r="I962" s="27">
        <v>1353.44</v>
      </c>
    </row>
    <row r="963" ht="15" customHeight="1" spans="1:9">
      <c r="A963" t="s">
        <v>1931</v>
      </c>
      <c r="B963" t="s">
        <v>961</v>
      </c>
      <c r="C963" t="s">
        <v>473</v>
      </c>
      <c r="D963">
        <v>3</v>
      </c>
      <c r="E963" s="27">
        <v>40.73</v>
      </c>
      <c r="F963" s="28">
        <v>0.05</v>
      </c>
      <c r="G963" s="27">
        <v>116.08</v>
      </c>
      <c r="H963" s="27">
        <v>23.22</v>
      </c>
      <c r="I963" s="27">
        <v>139.3</v>
      </c>
    </row>
    <row r="964" ht="15" customHeight="1" spans="1:9">
      <c r="A964" t="s">
        <v>1932</v>
      </c>
      <c r="B964" t="s">
        <v>962</v>
      </c>
      <c r="C964" t="s">
        <v>465</v>
      </c>
      <c r="D964">
        <v>1</v>
      </c>
      <c r="E964" s="27">
        <v>44.16</v>
      </c>
      <c r="F964" s="28">
        <v>0.05</v>
      </c>
      <c r="G964" s="27">
        <v>41.95</v>
      </c>
      <c r="H964" s="27">
        <v>8.39</v>
      </c>
      <c r="I964" s="27">
        <v>50.34</v>
      </c>
    </row>
    <row r="965" ht="15" customHeight="1" spans="1:9">
      <c r="A965" t="s">
        <v>1933</v>
      </c>
      <c r="B965" t="s">
        <v>962</v>
      </c>
      <c r="C965" t="s">
        <v>452</v>
      </c>
      <c r="D965">
        <v>2</v>
      </c>
      <c r="E965" s="27">
        <v>381.57</v>
      </c>
      <c r="F965" s="28">
        <v>0</v>
      </c>
      <c r="G965" s="27">
        <v>763.14</v>
      </c>
      <c r="H965" s="27">
        <v>152.63</v>
      </c>
      <c r="I965" s="27">
        <v>915.77</v>
      </c>
    </row>
    <row r="966" ht="15" customHeight="1" spans="1:9">
      <c r="A966" t="s">
        <v>1934</v>
      </c>
      <c r="B966" t="s">
        <v>963</v>
      </c>
      <c r="C966" t="s">
        <v>465</v>
      </c>
      <c r="D966">
        <v>1</v>
      </c>
      <c r="E966" s="27">
        <v>44.16</v>
      </c>
      <c r="F966" s="28">
        <v>0</v>
      </c>
      <c r="G966" s="27">
        <v>44.16</v>
      </c>
      <c r="H966" s="27">
        <v>8.83</v>
      </c>
      <c r="I966" s="27">
        <v>52.99</v>
      </c>
    </row>
  </sheetData>
  <conditionalFormatting sqref="G2:G9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{6ad8d87c-d5eb-47ac-9a1b-30198927e9dc}</x14:id>
        </ext>
      </extLst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d8d87c-d5eb-47ac-9a1b-30198927e9dc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G2:G966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4" outlineLevelCol="3"/>
  <cols>
    <col min="1" max="2" width="24" customWidth="1"/>
    <col min="3" max="3" width="60" customWidth="1"/>
    <col min="4" max="4" width="24" customWidth="1"/>
  </cols>
  <sheetData>
    <row r="1" spans="1:4">
      <c r="A1" s="40" t="s">
        <v>1935</v>
      </c>
      <c r="B1" s="40" t="s">
        <v>1936</v>
      </c>
      <c r="C1" s="40" t="s">
        <v>1937</v>
      </c>
      <c r="D1" s="40" t="s">
        <v>1938</v>
      </c>
    </row>
    <row r="2" spans="1:4">
      <c r="A2" t="s">
        <v>1939</v>
      </c>
      <c r="B2" t="s">
        <v>18</v>
      </c>
      <c r="C2" t="s">
        <v>1940</v>
      </c>
      <c r="D2" t="s">
        <v>29</v>
      </c>
    </row>
    <row r="3" spans="1:4">
      <c r="A3" t="s">
        <v>1939</v>
      </c>
      <c r="B3" t="s">
        <v>25</v>
      </c>
      <c r="C3" t="s">
        <v>1941</v>
      </c>
      <c r="D3" t="s">
        <v>36</v>
      </c>
    </row>
    <row r="4" spans="1:4">
      <c r="A4" t="s">
        <v>1942</v>
      </c>
      <c r="B4" t="s">
        <v>361</v>
      </c>
      <c r="C4" t="s">
        <v>1943</v>
      </c>
      <c r="D4" t="s">
        <v>1944</v>
      </c>
    </row>
    <row r="5" spans="1:4">
      <c r="A5" t="s">
        <v>1942</v>
      </c>
      <c r="B5" t="s">
        <v>362</v>
      </c>
      <c r="C5" t="s">
        <v>1945</v>
      </c>
      <c r="D5" t="s">
        <v>1946</v>
      </c>
    </row>
    <row r="6" spans="1:4">
      <c r="A6" t="s">
        <v>1947</v>
      </c>
      <c r="B6" t="s">
        <v>481</v>
      </c>
      <c r="C6" t="s">
        <v>1948</v>
      </c>
      <c r="D6" t="s">
        <v>1949</v>
      </c>
    </row>
    <row r="7" spans="1:4">
      <c r="A7" t="s">
        <v>1950</v>
      </c>
      <c r="B7" t="s">
        <v>531</v>
      </c>
      <c r="C7" t="s">
        <v>1951</v>
      </c>
      <c r="D7" t="s">
        <v>537</v>
      </c>
    </row>
    <row r="8" spans="1:4">
      <c r="A8" t="s">
        <v>1950</v>
      </c>
      <c r="B8" t="s">
        <v>534</v>
      </c>
      <c r="C8" t="s">
        <v>1952</v>
      </c>
      <c r="D8" t="s">
        <v>1953</v>
      </c>
    </row>
    <row r="9" spans="1:4">
      <c r="A9" t="s">
        <v>1954</v>
      </c>
      <c r="B9" t="s">
        <v>965</v>
      </c>
      <c r="C9" t="s">
        <v>1955</v>
      </c>
      <c r="D9" t="s">
        <v>1956</v>
      </c>
    </row>
    <row r="10" spans="1:4">
      <c r="A10" t="s">
        <v>1954</v>
      </c>
      <c r="B10" t="s">
        <v>966</v>
      </c>
      <c r="C10" t="s">
        <v>1957</v>
      </c>
      <c r="D10" t="s">
        <v>1958</v>
      </c>
    </row>
    <row r="11" spans="1:4">
      <c r="A11" t="s">
        <v>1954</v>
      </c>
      <c r="B11" t="s">
        <v>967</v>
      </c>
      <c r="C11" t="s">
        <v>1959</v>
      </c>
      <c r="D11" t="s">
        <v>1960</v>
      </c>
    </row>
    <row r="12" spans="1:4">
      <c r="A12" t="s">
        <v>1961</v>
      </c>
      <c r="B12" t="s">
        <v>1962</v>
      </c>
      <c r="C12" t="s">
        <v>1963</v>
      </c>
      <c r="D12" t="s">
        <v>170</v>
      </c>
    </row>
    <row r="13" spans="1:4">
      <c r="A13" t="s">
        <v>1961</v>
      </c>
      <c r="B13" t="s">
        <v>1964</v>
      </c>
      <c r="C13" t="s">
        <v>1965</v>
      </c>
      <c r="D13" t="s">
        <v>488</v>
      </c>
    </row>
    <row r="14" spans="1:4">
      <c r="A14" t="s">
        <v>1961</v>
      </c>
      <c r="B14" t="s">
        <v>1966</v>
      </c>
      <c r="C14" t="s">
        <v>1967</v>
      </c>
      <c r="D14" t="s">
        <v>588</v>
      </c>
    </row>
    <row r="15" spans="1:4">
      <c r="A15" t="s">
        <v>1961</v>
      </c>
      <c r="B15" t="s">
        <v>1968</v>
      </c>
      <c r="C15" t="s">
        <v>1969</v>
      </c>
      <c r="D15" t="s">
        <v>396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1" sqref="A1:B1"/>
    </sheetView>
  </sheetViews>
  <sheetFormatPr defaultColWidth="9" defaultRowHeight="14" outlineLevelCol="1"/>
  <cols>
    <col min="1" max="2" width="28" customWidth="1"/>
  </cols>
  <sheetData>
    <row r="1" ht="20" spans="1:2">
      <c r="A1" s="36" t="s">
        <v>1970</v>
      </c>
    </row>
    <row r="2" spans="1:2">
      <c r="A2" t="s">
        <v>1</v>
      </c>
    </row>
    <row r="3" spans="1:2">
      <c r="A3" s="37" t="s">
        <v>1971</v>
      </c>
      <c r="B3" s="37" t="s">
        <v>1972</v>
      </c>
    </row>
    <row r="4" spans="1:2">
      <c r="A4" t="s">
        <v>1973</v>
      </c>
      <c r="B4">
        <f>COUNTA(Clients!A2:A121)</f>
        <v>120</v>
      </c>
    </row>
    <row r="5" spans="1:2">
      <c r="A5" t="s">
        <v>1974</v>
      </c>
      <c r="B5">
        <f>COUNTA(Produits!A2:A51)</f>
        <v>50</v>
      </c>
    </row>
    <row r="6" spans="1:2">
      <c r="A6" t="s">
        <v>1975</v>
      </c>
      <c r="B6">
        <f>COUNTA(Commandes!A2:A421)</f>
        <v>420</v>
      </c>
    </row>
    <row r="7" spans="1:2">
      <c r="A7" t="s">
        <v>1976</v>
      </c>
      <c r="B7" s="27">
        <f>SUMIFS(Commandes!I:I,Commandes!F:F,"Livrée")</f>
        <v>330410.81</v>
      </c>
    </row>
    <row r="8" spans="1:2">
      <c r="A8" t="s">
        <v>1977</v>
      </c>
      <c r="B8" s="27">
        <f>IFERROR(B7/COUNTIFS(Commandes!F:F,"Livrée"),0)</f>
        <v>862.691409921672</v>
      </c>
    </row>
    <row r="9" spans="1:2">
      <c r="A9" t="s">
        <v>1</v>
      </c>
    </row>
    <row r="10" spans="1:2">
      <c r="A10" s="38" t="s">
        <v>1978</v>
      </c>
      <c r="B10" s="38" t="s">
        <v>1</v>
      </c>
    </row>
    <row r="11" spans="1:2">
      <c r="A11" s="38" t="s">
        <v>503</v>
      </c>
      <c r="B11" s="38" t="s">
        <v>1976</v>
      </c>
    </row>
    <row r="12" spans="1:2">
      <c r="A12" s="39">
        <v>45292</v>
      </c>
      <c r="B12" s="27">
        <f>SUMIFS(Commandes!I:I,Commandes!F:F,"Livrée",Commandes!B:B,"&gt;="&amp;A12,Commandes!B:B,"&lt;"&amp;EDATE(A12,1))</f>
        <v>14186.26</v>
      </c>
    </row>
    <row r="13" spans="1:2">
      <c r="A13" s="39">
        <v>45323</v>
      </c>
      <c r="B13" s="27">
        <f>SUMIFS(Commandes!I:I,Commandes!F:F,"Livrée",Commandes!B:B,"&gt;="&amp;A13,Commandes!B:B,"&lt;"&amp;EDATE(A13,1))</f>
        <v>19635.38</v>
      </c>
    </row>
    <row r="14" spans="1:2">
      <c r="A14" s="39">
        <v>45352</v>
      </c>
      <c r="B14" s="27">
        <f>SUMIFS(Commandes!I:I,Commandes!F:F,"Livrée",Commandes!B:B,"&gt;="&amp;A14,Commandes!B:B,"&lt;"&amp;EDATE(A14,1))</f>
        <v>11714.22</v>
      </c>
    </row>
    <row r="15" spans="1:2">
      <c r="A15" s="39">
        <v>45383</v>
      </c>
      <c r="B15" s="27">
        <f>SUMIFS(Commandes!I:I,Commandes!F:F,"Livrée",Commandes!B:B,"&gt;="&amp;A15,Commandes!B:B,"&lt;"&amp;EDATE(A15,1))</f>
        <v>4913.94</v>
      </c>
    </row>
    <row r="16" spans="1:2">
      <c r="A16" s="39">
        <v>45413</v>
      </c>
      <c r="B16" s="27">
        <f>SUMIFS(Commandes!I:I,Commandes!F:F,"Livrée",Commandes!B:B,"&gt;="&amp;A16,Commandes!B:B,"&lt;"&amp;EDATE(A16,1))</f>
        <v>16102.83</v>
      </c>
    </row>
    <row r="17" spans="1:2">
      <c r="A17" s="39">
        <v>45444</v>
      </c>
      <c r="B17" s="27">
        <f>SUMIFS(Commandes!I:I,Commandes!F:F,"Livrée",Commandes!B:B,"&gt;="&amp;A17,Commandes!B:B,"&lt;"&amp;EDATE(A17,1))</f>
        <v>15460.7</v>
      </c>
    </row>
    <row r="18" spans="1:2">
      <c r="A18" s="39">
        <v>45474</v>
      </c>
      <c r="B18" s="27">
        <f>SUMIFS(Commandes!I:I,Commandes!F:F,"Livrée",Commandes!B:B,"&gt;="&amp;A18,Commandes!B:B,"&lt;"&amp;EDATE(A18,1))</f>
        <v>13255.92</v>
      </c>
    </row>
    <row r="19" spans="1:2">
      <c r="A19" s="39">
        <v>45505</v>
      </c>
      <c r="B19" s="27">
        <f>SUMIFS(Commandes!I:I,Commandes!F:F,"Livrée",Commandes!B:B,"&gt;="&amp;A19,Commandes!B:B,"&lt;"&amp;EDATE(A19,1))</f>
        <v>8491.38</v>
      </c>
    </row>
    <row r="20" spans="1:2">
      <c r="A20" s="39">
        <v>45536</v>
      </c>
      <c r="B20" s="27">
        <f>SUMIFS(Commandes!I:I,Commandes!F:F,"Livrée",Commandes!B:B,"&gt;="&amp;A20,Commandes!B:B,"&lt;"&amp;EDATE(A20,1))</f>
        <v>8175.66</v>
      </c>
    </row>
    <row r="21" spans="1:2">
      <c r="A21" s="39">
        <v>45566</v>
      </c>
      <c r="B21" s="27">
        <f>SUMIFS(Commandes!I:I,Commandes!F:F,"Livrée",Commandes!B:B,"&gt;="&amp;A21,Commandes!B:B,"&lt;"&amp;EDATE(A21,1))</f>
        <v>10064.77</v>
      </c>
    </row>
    <row r="22" spans="1:2">
      <c r="A22" s="39">
        <v>45597</v>
      </c>
      <c r="B22" s="27">
        <f>SUMIFS(Commandes!I:I,Commandes!F:F,"Livrée",Commandes!B:B,"&gt;="&amp;A22,Commandes!B:B,"&lt;"&amp;EDATE(A22,1))</f>
        <v>16852.3</v>
      </c>
    </row>
    <row r="23" spans="1:2">
      <c r="A23" s="39">
        <v>45627</v>
      </c>
      <c r="B23" s="27">
        <f>SUMIFS(Commandes!I:I,Commandes!F:F,"Livrée",Commandes!B:B,"&gt;="&amp;A23,Commandes!B:B,"&lt;"&amp;EDATE(A23,1))</f>
        <v>15951.51</v>
      </c>
    </row>
    <row r="24" spans="1:2">
      <c r="A24" s="39">
        <v>45658</v>
      </c>
      <c r="B24" s="27">
        <f>SUMIFS(Commandes!I:I,Commandes!F:F,"Livrée",Commandes!B:B,"&gt;="&amp;A24,Commandes!B:B,"&lt;"&amp;EDATE(A24,1))</f>
        <v>16945.2</v>
      </c>
    </row>
    <row r="25" spans="1:2">
      <c r="A25" s="39">
        <v>45689</v>
      </c>
      <c r="B25" s="27">
        <f>SUMIFS(Commandes!I:I,Commandes!F:F,"Livrée",Commandes!B:B,"&gt;="&amp;A25,Commandes!B:B,"&lt;"&amp;EDATE(A25,1))</f>
        <v>7303.07</v>
      </c>
    </row>
    <row r="26" spans="1:2">
      <c r="A26" s="39">
        <v>45717</v>
      </c>
      <c r="B26" s="27">
        <f>SUMIFS(Commandes!I:I,Commandes!F:F,"Livrée",Commandes!B:B,"&gt;="&amp;A26,Commandes!B:B,"&lt;"&amp;EDATE(A26,1))</f>
        <v>11528.94</v>
      </c>
    </row>
    <row r="27" spans="1:2">
      <c r="A27" s="39">
        <v>45748</v>
      </c>
      <c r="B27" s="27">
        <f>SUMIFS(Commandes!I:I,Commandes!F:F,"Livrée",Commandes!B:B,"&gt;="&amp;A27,Commandes!B:B,"&lt;"&amp;EDATE(A27,1))</f>
        <v>17147.6</v>
      </c>
    </row>
    <row r="28" spans="1:2">
      <c r="A28" s="39">
        <v>45778</v>
      </c>
      <c r="B28" s="27">
        <f>SUMIFS(Commandes!I:I,Commandes!F:F,"Livrée",Commandes!B:B,"&gt;="&amp;A28,Commandes!B:B,"&lt;"&amp;EDATE(A28,1))</f>
        <v>22431.28</v>
      </c>
    </row>
    <row r="29" spans="1:2">
      <c r="A29" s="39">
        <v>45809</v>
      </c>
      <c r="B29" s="27">
        <f>SUMIFS(Commandes!I:I,Commandes!F:F,"Livrée",Commandes!B:B,"&gt;="&amp;A29,Commandes!B:B,"&lt;"&amp;EDATE(A29,1))</f>
        <v>8330.62</v>
      </c>
    </row>
    <row r="30" spans="1:2">
      <c r="A30" s="39">
        <v>45839</v>
      </c>
      <c r="B30" s="27">
        <f>SUMIFS(Commandes!I:I,Commandes!F:F,"Livrée",Commandes!B:B,"&gt;="&amp;A30,Commandes!B:B,"&lt;"&amp;EDATE(A30,1))</f>
        <v>12031.3</v>
      </c>
    </row>
    <row r="31" spans="1:2">
      <c r="A31" s="39">
        <v>45870</v>
      </c>
      <c r="B31" s="27">
        <f>SUMIFS(Commandes!I:I,Commandes!F:F,"Livrée",Commandes!B:B,"&gt;="&amp;A31,Commandes!B:B,"&lt;"&amp;EDATE(A31,1))</f>
        <v>13326.5</v>
      </c>
    </row>
    <row r="32" spans="1:2">
      <c r="A32" s="39">
        <v>45901</v>
      </c>
      <c r="B32" s="27">
        <f>SUMIFS(Commandes!I:I,Commandes!F:F,"Livrée",Commandes!B:B,"&gt;="&amp;A32,Commandes!B:B,"&lt;"&amp;EDATE(A32,1))</f>
        <v>26207.07</v>
      </c>
    </row>
    <row r="33" spans="1:2">
      <c r="A33" s="39">
        <v>45931</v>
      </c>
      <c r="B33" s="27">
        <f>SUMIFS(Commandes!I:I,Commandes!F:F,"Livrée",Commandes!B:B,"&gt;="&amp;A33,Commandes!B:B,"&lt;"&amp;EDATE(A33,1))</f>
        <v>17992.69</v>
      </c>
    </row>
    <row r="34" spans="1:2">
      <c r="A34" s="39">
        <v>45962</v>
      </c>
      <c r="B34" s="27">
        <f>SUMIFS(Commandes!I:I,Commandes!F:F,"Livrée",Commandes!B:B,"&gt;="&amp;A34,Commandes!B:B,"&lt;"&amp;EDATE(A34,1))</f>
        <v>11587.53</v>
      </c>
    </row>
    <row r="35" spans="1:2">
      <c r="A35" s="39">
        <v>45992</v>
      </c>
      <c r="B35" s="27">
        <f>SUMIFS(Commandes!I:I,Commandes!F:F,"Livrée",Commandes!B:B,"&gt;="&amp;A35,Commandes!B:B,"&lt;"&amp;EDATE(A35,1))</f>
        <v>10774.14</v>
      </c>
    </row>
  </sheetData>
  <mergeCells count="1">
    <mergeCell ref="A1:B1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13" sqref="C13"/>
    </sheetView>
  </sheetViews>
  <sheetFormatPr defaultColWidth="18.6666666666667" defaultRowHeight="22" customHeight="1" outlineLevelRow="4" outlineLevelCol="1"/>
  <cols>
    <col min="1" max="1" width="24.25" style="30" customWidth="1"/>
    <col min="2" max="16384" width="18.6666666666667" style="30" customWidth="1"/>
  </cols>
  <sheetData>
    <row r="1" customHeight="1" spans="1:2">
      <c r="A1" s="31" t="s">
        <v>1979</v>
      </c>
      <c r="B1" s="32">
        <f>SUM(Lignes_Commandes!I:I)</f>
        <v>442791.38</v>
      </c>
    </row>
    <row r="2" customHeight="1" spans="1:2">
      <c r="A2" s="33" t="s">
        <v>1975</v>
      </c>
      <c r="B2" s="34">
        <f>COUNTA(Commandes!A2:A421)</f>
        <v>420</v>
      </c>
    </row>
    <row r="3" customHeight="1" spans="1:2">
      <c r="A3" s="33" t="s">
        <v>1973</v>
      </c>
      <c r="B3" s="34">
        <f>COUNTA(Clients!A2:A121)</f>
        <v>120</v>
      </c>
    </row>
    <row r="4" customHeight="1" spans="1:2">
      <c r="A4" s="33" t="s">
        <v>1980</v>
      </c>
      <c r="B4" s="35">
        <f>B1/B2</f>
        <v>1054.26519047619</v>
      </c>
    </row>
    <row r="5" customHeight="1" spans="1:2">
      <c r="A5" s="33" t="s">
        <v>1981</v>
      </c>
      <c r="B5" s="34">
        <f>SUM(Lignes_Commandes!D:D)</f>
        <v>2097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6"/>
  <sheetViews>
    <sheetView zoomScale="64" zoomScaleNormal="64" workbookViewId="0">
      <selection activeCell="K1" sqref="K$1:K$1048576"/>
    </sheetView>
  </sheetViews>
  <sheetFormatPr defaultColWidth="8.66666666666667" defaultRowHeight="14"/>
  <cols>
    <col min="5" max="5" width="13.8333333333333" customWidth="1"/>
    <col min="7" max="7" width="13.75" customWidth="1"/>
    <col min="9" max="9" width="12.3333333333333" customWidth="1"/>
    <col min="10" max="10" width="14.3333333333333" style="24" customWidth="1"/>
  </cols>
  <sheetData>
    <row r="1" ht="28" spans="1:10">
      <c r="A1" s="25" t="s">
        <v>964</v>
      </c>
      <c r="B1" s="25" t="s">
        <v>529</v>
      </c>
      <c r="C1" s="25" t="s">
        <v>357</v>
      </c>
      <c r="D1" s="25" t="s">
        <v>965</v>
      </c>
      <c r="E1" s="25" t="s">
        <v>361</v>
      </c>
      <c r="F1" s="25" t="s">
        <v>966</v>
      </c>
      <c r="G1" s="25" t="s">
        <v>967</v>
      </c>
      <c r="H1" s="25" t="s">
        <v>968</v>
      </c>
      <c r="I1" s="25" t="s">
        <v>969</v>
      </c>
      <c r="J1" s="26" t="s">
        <v>530</v>
      </c>
    </row>
    <row r="2" spans="1:10">
      <c r="A2" t="s">
        <v>970</v>
      </c>
      <c r="B2" t="s">
        <v>536</v>
      </c>
      <c r="C2" t="s">
        <v>459</v>
      </c>
      <c r="D2">
        <v>1</v>
      </c>
      <c r="E2" s="27">
        <v>70.8</v>
      </c>
      <c r="F2" s="28">
        <v>0.05</v>
      </c>
      <c r="G2" s="27">
        <v>67.26</v>
      </c>
      <c r="H2" s="27">
        <v>13.45</v>
      </c>
      <c r="I2" s="27">
        <v>80.71</v>
      </c>
      <c r="J2" s="29" cm="1">
        <f t="array" ref="J2">INDEX(Commandes!$B$2:$B$421,MATCH(B2,Commandes!$A$2:$A$421,0))</f>
        <v>45943</v>
      </c>
    </row>
    <row r="3" spans="1:10">
      <c r="A3" t="s">
        <v>971</v>
      </c>
      <c r="B3" t="s">
        <v>536</v>
      </c>
      <c r="C3" t="s">
        <v>372</v>
      </c>
      <c r="D3">
        <v>2</v>
      </c>
      <c r="E3" s="27">
        <v>216.77</v>
      </c>
      <c r="F3" s="28">
        <v>0.15</v>
      </c>
      <c r="G3" s="27">
        <v>368.51</v>
      </c>
      <c r="H3" s="27">
        <v>73.7</v>
      </c>
      <c r="I3" s="27">
        <v>442.21</v>
      </c>
      <c r="J3" s="29" cm="1">
        <f t="array" ref="J3">INDEX(Commandes!$B$2:$B$421,MATCH(B3,Commandes!$A$2:$A$421,0))</f>
        <v>45943</v>
      </c>
    </row>
    <row r="4" spans="1:10">
      <c r="A4" t="s">
        <v>972</v>
      </c>
      <c r="B4" t="s">
        <v>536</v>
      </c>
      <c r="C4" t="s">
        <v>389</v>
      </c>
      <c r="D4">
        <v>1</v>
      </c>
      <c r="E4" s="27">
        <v>120.37</v>
      </c>
      <c r="F4" s="28">
        <v>0</v>
      </c>
      <c r="G4" s="27">
        <v>120.37</v>
      </c>
      <c r="H4" s="27">
        <v>24.07</v>
      </c>
      <c r="I4" s="27">
        <v>144.44</v>
      </c>
      <c r="J4" s="29" cm="1">
        <f t="array" ref="J4">INDEX(Commandes!$B$2:$B$421,MATCH(B4,Commandes!$A$2:$A$421,0))</f>
        <v>45943</v>
      </c>
    </row>
    <row r="5" spans="1:10">
      <c r="A5" t="s">
        <v>973</v>
      </c>
      <c r="B5" t="s">
        <v>536</v>
      </c>
      <c r="C5" t="s">
        <v>414</v>
      </c>
      <c r="D5">
        <v>3</v>
      </c>
      <c r="E5" s="27">
        <v>63.96</v>
      </c>
      <c r="F5" s="28">
        <v>0</v>
      </c>
      <c r="G5" s="27">
        <v>191.88</v>
      </c>
      <c r="H5" s="27">
        <v>38.38</v>
      </c>
      <c r="I5" s="27">
        <v>230.26</v>
      </c>
      <c r="J5" s="29" cm="1">
        <f t="array" ref="J5">INDEX(Commandes!$B$2:$B$421,MATCH(B5,Commandes!$A$2:$A$421,0))</f>
        <v>45943</v>
      </c>
    </row>
    <row r="6" spans="1:10">
      <c r="A6" t="s">
        <v>974</v>
      </c>
      <c r="B6" t="s">
        <v>539</v>
      </c>
      <c r="C6" t="s">
        <v>435</v>
      </c>
      <c r="D6">
        <v>8</v>
      </c>
      <c r="E6" s="27">
        <v>262.34</v>
      </c>
      <c r="F6" s="28">
        <v>0</v>
      </c>
      <c r="G6" s="27">
        <v>2098.72</v>
      </c>
      <c r="H6" s="27">
        <v>419.74</v>
      </c>
      <c r="I6" s="27">
        <v>2518.46</v>
      </c>
      <c r="J6" s="29" cm="1">
        <f t="array" ref="J6">INDEX(Commandes!$B$2:$B$421,MATCH(B6,Commandes!$A$2:$A$421,0))</f>
        <v>45497</v>
      </c>
    </row>
    <row r="7" spans="1:10">
      <c r="A7" t="s">
        <v>975</v>
      </c>
      <c r="B7" t="s">
        <v>541</v>
      </c>
      <c r="C7" t="s">
        <v>469</v>
      </c>
      <c r="D7">
        <v>2</v>
      </c>
      <c r="E7" s="27">
        <v>30.71</v>
      </c>
      <c r="F7" s="28">
        <v>0.05</v>
      </c>
      <c r="G7" s="27">
        <v>58.35</v>
      </c>
      <c r="H7" s="27">
        <v>11.67</v>
      </c>
      <c r="I7" s="27">
        <v>70.02</v>
      </c>
      <c r="J7" s="29" cm="1">
        <f t="array" ref="J7">INDEX(Commandes!$B$2:$B$421,MATCH(B7,Commandes!$A$2:$A$421,0))</f>
        <v>45638</v>
      </c>
    </row>
    <row r="8" spans="1:10">
      <c r="A8" t="s">
        <v>976</v>
      </c>
      <c r="B8" t="s">
        <v>541</v>
      </c>
      <c r="C8" t="s">
        <v>446</v>
      </c>
      <c r="D8">
        <v>1</v>
      </c>
      <c r="E8" s="27">
        <v>454.43</v>
      </c>
      <c r="F8" s="28">
        <v>0.05</v>
      </c>
      <c r="G8" s="27">
        <v>431.71</v>
      </c>
      <c r="H8" s="27">
        <v>86.34</v>
      </c>
      <c r="I8" s="27">
        <v>518.05</v>
      </c>
      <c r="J8" s="29" cm="1">
        <f t="array" ref="J8">INDEX(Commandes!$B$2:$B$421,MATCH(B8,Commandes!$A$2:$A$421,0))</f>
        <v>45638</v>
      </c>
    </row>
    <row r="9" spans="1:10">
      <c r="A9" t="s">
        <v>977</v>
      </c>
      <c r="B9" t="s">
        <v>541</v>
      </c>
      <c r="C9" t="s">
        <v>366</v>
      </c>
      <c r="D9">
        <v>1</v>
      </c>
      <c r="E9" s="27">
        <v>1103.64</v>
      </c>
      <c r="F9" s="28">
        <v>0</v>
      </c>
      <c r="G9" s="27">
        <v>1103.64</v>
      </c>
      <c r="H9" s="27">
        <v>220.73</v>
      </c>
      <c r="I9" s="27">
        <v>1324.37</v>
      </c>
      <c r="J9" s="29" cm="1">
        <f t="array" ref="J9">INDEX(Commandes!$B$2:$B$421,MATCH(B9,Commandes!$A$2:$A$421,0))</f>
        <v>45638</v>
      </c>
    </row>
    <row r="10" spans="1:10">
      <c r="A10" t="s">
        <v>978</v>
      </c>
      <c r="B10" t="s">
        <v>541</v>
      </c>
      <c r="C10" t="s">
        <v>433</v>
      </c>
      <c r="D10">
        <v>1</v>
      </c>
      <c r="E10" s="27">
        <v>58.14</v>
      </c>
      <c r="F10" s="28">
        <v>0.15</v>
      </c>
      <c r="G10" s="27">
        <v>49.42</v>
      </c>
      <c r="H10" s="27">
        <v>9.88</v>
      </c>
      <c r="I10" s="27">
        <v>59.3</v>
      </c>
      <c r="J10" s="29" cm="1">
        <f t="array" ref="J10">INDEX(Commandes!$B$2:$B$421,MATCH(B10,Commandes!$A$2:$A$421,0))</f>
        <v>45638</v>
      </c>
    </row>
    <row r="11" spans="1:10">
      <c r="A11" t="s">
        <v>979</v>
      </c>
      <c r="B11" t="s">
        <v>543</v>
      </c>
      <c r="C11" t="s">
        <v>435</v>
      </c>
      <c r="D11">
        <v>1</v>
      </c>
      <c r="E11" s="27">
        <v>262.34</v>
      </c>
      <c r="F11" s="28">
        <v>0.1</v>
      </c>
      <c r="G11" s="27">
        <v>236.11</v>
      </c>
      <c r="H11" s="27">
        <v>47.22</v>
      </c>
      <c r="I11" s="27">
        <v>283.33</v>
      </c>
      <c r="J11" s="29" cm="1">
        <f t="array" ref="J11">INDEX(Commandes!$B$2:$B$421,MATCH(B11,Commandes!$A$2:$A$421,0))</f>
        <v>45980</v>
      </c>
    </row>
    <row r="12" spans="1:10">
      <c r="A12" t="s">
        <v>980</v>
      </c>
      <c r="B12" t="s">
        <v>543</v>
      </c>
      <c r="C12" t="s">
        <v>414</v>
      </c>
      <c r="D12">
        <v>4</v>
      </c>
      <c r="E12" s="27">
        <v>63.96</v>
      </c>
      <c r="F12" s="28">
        <v>0</v>
      </c>
      <c r="G12" s="27">
        <v>255.84</v>
      </c>
      <c r="H12" s="27">
        <v>51.17</v>
      </c>
      <c r="I12" s="27">
        <v>307.01</v>
      </c>
      <c r="J12" s="29" cm="1">
        <f t="array" ref="J12">INDEX(Commandes!$B$2:$B$421,MATCH(B12,Commandes!$A$2:$A$421,0))</f>
        <v>45980</v>
      </c>
    </row>
    <row r="13" spans="1:10">
      <c r="A13" t="s">
        <v>981</v>
      </c>
      <c r="B13" t="s">
        <v>543</v>
      </c>
      <c r="C13" t="s">
        <v>459</v>
      </c>
      <c r="D13">
        <v>1</v>
      </c>
      <c r="E13" s="27">
        <v>70.8</v>
      </c>
      <c r="F13" s="28">
        <v>0.05</v>
      </c>
      <c r="G13" s="27">
        <v>67.26</v>
      </c>
      <c r="H13" s="27">
        <v>13.45</v>
      </c>
      <c r="I13" s="27">
        <v>80.71</v>
      </c>
      <c r="J13" s="29" cm="1">
        <f t="array" ref="J13">INDEX(Commandes!$B$2:$B$421,MATCH(B13,Commandes!$A$2:$A$421,0))</f>
        <v>45980</v>
      </c>
    </row>
    <row r="14" spans="1:10">
      <c r="A14" t="s">
        <v>982</v>
      </c>
      <c r="B14" t="s">
        <v>544</v>
      </c>
      <c r="C14" t="s">
        <v>387</v>
      </c>
      <c r="D14">
        <v>1</v>
      </c>
      <c r="E14" s="27">
        <v>37.91</v>
      </c>
      <c r="F14" s="28">
        <v>0.1</v>
      </c>
      <c r="G14" s="27">
        <v>34.12</v>
      </c>
      <c r="H14" s="27">
        <v>6.82</v>
      </c>
      <c r="I14" s="27">
        <v>40.94</v>
      </c>
      <c r="J14" s="29" cm="1">
        <f t="array" ref="J14">INDEX(Commandes!$B$2:$B$421,MATCH(B14,Commandes!$A$2:$A$421,0))</f>
        <v>46009</v>
      </c>
    </row>
    <row r="15" spans="1:10">
      <c r="A15" t="s">
        <v>983</v>
      </c>
      <c r="B15" t="s">
        <v>544</v>
      </c>
      <c r="C15" t="s">
        <v>389</v>
      </c>
      <c r="D15">
        <v>1</v>
      </c>
      <c r="E15" s="27">
        <v>120.37</v>
      </c>
      <c r="F15" s="28">
        <v>0</v>
      </c>
      <c r="G15" s="27">
        <v>120.37</v>
      </c>
      <c r="H15" s="27">
        <v>24.07</v>
      </c>
      <c r="I15" s="27">
        <v>144.44</v>
      </c>
      <c r="J15" s="29" cm="1">
        <f t="array" ref="J15">INDEX(Commandes!$B$2:$B$421,MATCH(B15,Commandes!$A$2:$A$421,0))</f>
        <v>46009</v>
      </c>
    </row>
    <row r="16" spans="1:10">
      <c r="A16" t="s">
        <v>984</v>
      </c>
      <c r="B16" t="s">
        <v>544</v>
      </c>
      <c r="C16" t="s">
        <v>461</v>
      </c>
      <c r="D16">
        <v>5</v>
      </c>
      <c r="E16" s="27">
        <v>59.83</v>
      </c>
      <c r="F16" s="28">
        <v>0.15</v>
      </c>
      <c r="G16" s="27">
        <v>254.28</v>
      </c>
      <c r="H16" s="27">
        <v>50.86</v>
      </c>
      <c r="I16" s="27">
        <v>305.14</v>
      </c>
      <c r="J16" s="29" cm="1">
        <f t="array" ref="J16">INDEX(Commandes!$B$2:$B$421,MATCH(B16,Commandes!$A$2:$A$421,0))</f>
        <v>46009</v>
      </c>
    </row>
    <row r="17" spans="1:10">
      <c r="A17" t="s">
        <v>985</v>
      </c>
      <c r="B17" t="s">
        <v>544</v>
      </c>
      <c r="C17" t="s">
        <v>444</v>
      </c>
      <c r="D17">
        <v>1</v>
      </c>
      <c r="E17" s="27">
        <v>442.3</v>
      </c>
      <c r="F17" s="28">
        <v>0.15</v>
      </c>
      <c r="G17" s="27">
        <v>375.95</v>
      </c>
      <c r="H17" s="27">
        <v>75.19</v>
      </c>
      <c r="I17" s="27">
        <v>451.14</v>
      </c>
      <c r="J17" s="29" cm="1">
        <f t="array" ref="J17">INDEX(Commandes!$B$2:$B$421,MATCH(B17,Commandes!$A$2:$A$421,0))</f>
        <v>46009</v>
      </c>
    </row>
    <row r="18" spans="1:10">
      <c r="A18" t="s">
        <v>986</v>
      </c>
      <c r="B18" t="s">
        <v>544</v>
      </c>
      <c r="C18" t="s">
        <v>469</v>
      </c>
      <c r="D18">
        <v>1</v>
      </c>
      <c r="E18" s="27">
        <v>30.71</v>
      </c>
      <c r="F18" s="28">
        <v>0.05</v>
      </c>
      <c r="G18" s="27">
        <v>29.17</v>
      </c>
      <c r="H18" s="27">
        <v>5.83</v>
      </c>
      <c r="I18" s="27">
        <v>35</v>
      </c>
      <c r="J18" s="29" cm="1">
        <f t="array" ref="J18">INDEX(Commandes!$B$2:$B$421,MATCH(B18,Commandes!$A$2:$A$421,0))</f>
        <v>46009</v>
      </c>
    </row>
    <row r="19" spans="1:10">
      <c r="A19" t="s">
        <v>987</v>
      </c>
      <c r="B19" t="s">
        <v>546</v>
      </c>
      <c r="C19" t="s">
        <v>400</v>
      </c>
      <c r="D19">
        <v>1</v>
      </c>
      <c r="E19" s="27">
        <v>328.03</v>
      </c>
      <c r="F19" s="28">
        <v>0</v>
      </c>
      <c r="G19" s="27">
        <v>328.03</v>
      </c>
      <c r="H19" s="27">
        <v>65.61</v>
      </c>
      <c r="I19" s="27">
        <v>393.64</v>
      </c>
      <c r="J19" s="29" cm="1">
        <f t="array" ref="J19">INDEX(Commandes!$B$2:$B$421,MATCH(B19,Commandes!$A$2:$A$421,0))</f>
        <v>45962</v>
      </c>
    </row>
    <row r="20" spans="1:10">
      <c r="A20" t="s">
        <v>988</v>
      </c>
      <c r="B20" t="s">
        <v>546</v>
      </c>
      <c r="C20" t="s">
        <v>421</v>
      </c>
      <c r="D20">
        <v>1</v>
      </c>
      <c r="E20" s="27">
        <v>78.78</v>
      </c>
      <c r="F20" s="28">
        <v>0.15</v>
      </c>
      <c r="G20" s="27">
        <v>66.96</v>
      </c>
      <c r="H20" s="27">
        <v>13.39</v>
      </c>
      <c r="I20" s="27">
        <v>80.35</v>
      </c>
      <c r="J20" s="29" cm="1">
        <f t="array" ref="J20">INDEX(Commandes!$B$2:$B$421,MATCH(B20,Commandes!$A$2:$A$421,0))</f>
        <v>45962</v>
      </c>
    </row>
    <row r="21" spans="1:10">
      <c r="A21" t="s">
        <v>989</v>
      </c>
      <c r="B21" t="s">
        <v>546</v>
      </c>
      <c r="C21" t="s">
        <v>421</v>
      </c>
      <c r="D21">
        <v>2</v>
      </c>
      <c r="E21" s="27">
        <v>78.78</v>
      </c>
      <c r="F21" s="28">
        <v>0.15</v>
      </c>
      <c r="G21" s="27">
        <v>133.93</v>
      </c>
      <c r="H21" s="27">
        <v>26.79</v>
      </c>
      <c r="I21" s="27">
        <v>160.72</v>
      </c>
      <c r="J21" s="29" cm="1">
        <f t="array" ref="J21">INDEX(Commandes!$B$2:$B$421,MATCH(B21,Commandes!$A$2:$A$421,0))</f>
        <v>45962</v>
      </c>
    </row>
    <row r="22" spans="1:10">
      <c r="A22" t="s">
        <v>990</v>
      </c>
      <c r="B22" t="s">
        <v>548</v>
      </c>
      <c r="C22" t="s">
        <v>400</v>
      </c>
      <c r="D22">
        <v>2</v>
      </c>
      <c r="E22" s="27">
        <v>328.03</v>
      </c>
      <c r="F22" s="28">
        <v>0.1</v>
      </c>
      <c r="G22" s="27">
        <v>590.45</v>
      </c>
      <c r="H22" s="27">
        <v>118.09</v>
      </c>
      <c r="I22" s="27">
        <v>708.54</v>
      </c>
      <c r="J22" s="29" cm="1">
        <f t="array" ref="J22">INDEX(Commandes!$B$2:$B$421,MATCH(B22,Commandes!$A$2:$A$421,0))</f>
        <v>45659</v>
      </c>
    </row>
    <row r="23" spans="1:10">
      <c r="A23" t="s">
        <v>991</v>
      </c>
      <c r="B23" t="s">
        <v>549</v>
      </c>
      <c r="C23" t="s">
        <v>446</v>
      </c>
      <c r="D23">
        <v>1</v>
      </c>
      <c r="E23" s="27">
        <v>454.43</v>
      </c>
      <c r="F23" s="28">
        <v>0</v>
      </c>
      <c r="G23" s="27">
        <v>454.43</v>
      </c>
      <c r="H23" s="27">
        <v>90.89</v>
      </c>
      <c r="I23" s="27">
        <v>545.32</v>
      </c>
      <c r="J23" s="29" cm="1">
        <f t="array" ref="J23">INDEX(Commandes!$B$2:$B$421,MATCH(B23,Commandes!$A$2:$A$421,0))</f>
        <v>45313</v>
      </c>
    </row>
    <row r="24" spans="1:10">
      <c r="A24" t="s">
        <v>992</v>
      </c>
      <c r="B24" t="s">
        <v>549</v>
      </c>
      <c r="C24" t="s">
        <v>402</v>
      </c>
      <c r="D24">
        <v>1</v>
      </c>
      <c r="E24" s="27">
        <v>26.57</v>
      </c>
      <c r="F24" s="28">
        <v>0</v>
      </c>
      <c r="G24" s="27">
        <v>26.57</v>
      </c>
      <c r="H24" s="27">
        <v>5.31</v>
      </c>
      <c r="I24" s="27">
        <v>31.88</v>
      </c>
      <c r="J24" s="29" cm="1">
        <f t="array" ref="J24">INDEX(Commandes!$B$2:$B$421,MATCH(B24,Commandes!$A$2:$A$421,0))</f>
        <v>45313</v>
      </c>
    </row>
    <row r="25" spans="1:10">
      <c r="A25" t="s">
        <v>993</v>
      </c>
      <c r="B25" t="s">
        <v>549</v>
      </c>
      <c r="C25" t="s">
        <v>452</v>
      </c>
      <c r="D25">
        <v>1</v>
      </c>
      <c r="E25" s="27">
        <v>381.57</v>
      </c>
      <c r="F25" s="28">
        <v>0</v>
      </c>
      <c r="G25" s="27">
        <v>381.57</v>
      </c>
      <c r="H25" s="27">
        <v>76.31</v>
      </c>
      <c r="I25" s="27">
        <v>457.88</v>
      </c>
      <c r="J25" s="29" cm="1">
        <f t="array" ref="J25">INDEX(Commandes!$B$2:$B$421,MATCH(B25,Commandes!$A$2:$A$421,0))</f>
        <v>45313</v>
      </c>
    </row>
    <row r="26" spans="1:10">
      <c r="A26" t="s">
        <v>994</v>
      </c>
      <c r="B26" t="s">
        <v>551</v>
      </c>
      <c r="C26" t="s">
        <v>404</v>
      </c>
      <c r="D26">
        <v>2</v>
      </c>
      <c r="E26" s="27">
        <v>30.09</v>
      </c>
      <c r="F26" s="28">
        <v>0</v>
      </c>
      <c r="G26" s="27">
        <v>60.18</v>
      </c>
      <c r="H26" s="27">
        <v>12.04</v>
      </c>
      <c r="I26" s="27">
        <v>72.22</v>
      </c>
      <c r="J26" s="29" cm="1">
        <f t="array" ref="J26">INDEX(Commandes!$B$2:$B$421,MATCH(B26,Commandes!$A$2:$A$421,0))</f>
        <v>45425</v>
      </c>
    </row>
    <row r="27" spans="1:10">
      <c r="A27" t="s">
        <v>995</v>
      </c>
      <c r="B27" t="s">
        <v>552</v>
      </c>
      <c r="C27" t="s">
        <v>475</v>
      </c>
      <c r="D27">
        <v>1</v>
      </c>
      <c r="E27" s="27">
        <v>42</v>
      </c>
      <c r="F27" s="28">
        <v>0.1</v>
      </c>
      <c r="G27" s="27">
        <v>37.8</v>
      </c>
      <c r="H27" s="27">
        <v>7.56</v>
      </c>
      <c r="I27" s="27">
        <v>45.36</v>
      </c>
      <c r="J27" s="29" cm="1">
        <f t="array" ref="J27">INDEX(Commandes!$B$2:$B$421,MATCH(B27,Commandes!$A$2:$A$421,0))</f>
        <v>45470</v>
      </c>
    </row>
    <row r="28" spans="1:10">
      <c r="A28" t="s">
        <v>996</v>
      </c>
      <c r="B28" t="s">
        <v>552</v>
      </c>
      <c r="C28" t="s">
        <v>383</v>
      </c>
      <c r="D28">
        <v>2</v>
      </c>
      <c r="E28" s="27">
        <v>39.08</v>
      </c>
      <c r="F28" s="28">
        <v>0</v>
      </c>
      <c r="G28" s="27">
        <v>78.16</v>
      </c>
      <c r="H28" s="27">
        <v>15.63</v>
      </c>
      <c r="I28" s="27">
        <v>93.79</v>
      </c>
      <c r="J28" s="29" cm="1">
        <f t="array" ref="J28">INDEX(Commandes!$B$2:$B$421,MATCH(B28,Commandes!$A$2:$A$421,0))</f>
        <v>45470</v>
      </c>
    </row>
    <row r="29" spans="1:10">
      <c r="A29" t="s">
        <v>997</v>
      </c>
      <c r="B29" t="s">
        <v>553</v>
      </c>
      <c r="C29" t="s">
        <v>425</v>
      </c>
      <c r="D29">
        <v>1</v>
      </c>
      <c r="E29" s="27">
        <v>36.08</v>
      </c>
      <c r="F29" s="28">
        <v>0</v>
      </c>
      <c r="G29" s="27">
        <v>36.08</v>
      </c>
      <c r="H29" s="27">
        <v>7.22</v>
      </c>
      <c r="I29" s="27">
        <v>43.3</v>
      </c>
      <c r="J29" s="29" cm="1">
        <f t="array" ref="J29">INDEX(Commandes!$B$2:$B$421,MATCH(B29,Commandes!$A$2:$A$421,0))</f>
        <v>45921</v>
      </c>
    </row>
    <row r="30" spans="1:10">
      <c r="A30" t="s">
        <v>998</v>
      </c>
      <c r="B30" t="s">
        <v>553</v>
      </c>
      <c r="C30" t="s">
        <v>438</v>
      </c>
      <c r="D30">
        <v>3</v>
      </c>
      <c r="E30" s="27">
        <v>295.97</v>
      </c>
      <c r="F30" s="28">
        <v>0.05</v>
      </c>
      <c r="G30" s="27">
        <v>843.51</v>
      </c>
      <c r="H30" s="27">
        <v>168.7</v>
      </c>
      <c r="I30" s="27">
        <v>1012.21</v>
      </c>
      <c r="J30" s="29" cm="1">
        <f t="array" ref="J30">INDEX(Commandes!$B$2:$B$421,MATCH(B30,Commandes!$A$2:$A$421,0))</f>
        <v>45921</v>
      </c>
    </row>
    <row r="31" spans="1:10">
      <c r="A31" t="s">
        <v>999</v>
      </c>
      <c r="B31" t="s">
        <v>553</v>
      </c>
      <c r="C31" t="s">
        <v>377</v>
      </c>
      <c r="D31">
        <v>4</v>
      </c>
      <c r="E31" s="27">
        <v>84.94</v>
      </c>
      <c r="F31" s="28">
        <v>0</v>
      </c>
      <c r="G31" s="27">
        <v>339.76</v>
      </c>
      <c r="H31" s="27">
        <v>67.95</v>
      </c>
      <c r="I31" s="27">
        <v>407.71</v>
      </c>
      <c r="J31" s="29" cm="1">
        <f t="array" ref="J31">INDEX(Commandes!$B$2:$B$421,MATCH(B31,Commandes!$A$2:$A$421,0))</f>
        <v>45921</v>
      </c>
    </row>
    <row r="32" spans="1:10">
      <c r="A32" t="s">
        <v>1000</v>
      </c>
      <c r="B32" t="s">
        <v>553</v>
      </c>
      <c r="C32" t="s">
        <v>452</v>
      </c>
      <c r="D32">
        <v>1</v>
      </c>
      <c r="E32" s="27">
        <v>381.57</v>
      </c>
      <c r="F32" s="28">
        <v>0</v>
      </c>
      <c r="G32" s="27">
        <v>381.57</v>
      </c>
      <c r="H32" s="27">
        <v>76.31</v>
      </c>
      <c r="I32" s="27">
        <v>457.88</v>
      </c>
      <c r="J32" s="29" cm="1">
        <f t="array" ref="J32">INDEX(Commandes!$B$2:$B$421,MATCH(B32,Commandes!$A$2:$A$421,0))</f>
        <v>45921</v>
      </c>
    </row>
    <row r="33" spans="1:10">
      <c r="A33" t="s">
        <v>1001</v>
      </c>
      <c r="B33" t="s">
        <v>553</v>
      </c>
      <c r="C33" t="s">
        <v>408</v>
      </c>
      <c r="D33">
        <v>2</v>
      </c>
      <c r="E33" s="27">
        <v>19.65</v>
      </c>
      <c r="F33" s="28">
        <v>0.1</v>
      </c>
      <c r="G33" s="27">
        <v>35.37</v>
      </c>
      <c r="H33" s="27">
        <v>7.07</v>
      </c>
      <c r="I33" s="27">
        <v>42.44</v>
      </c>
      <c r="J33" s="29" cm="1">
        <f t="array" ref="J33">INDEX(Commandes!$B$2:$B$421,MATCH(B33,Commandes!$A$2:$A$421,0))</f>
        <v>45921</v>
      </c>
    </row>
    <row r="34" spans="1:10">
      <c r="A34" t="s">
        <v>1002</v>
      </c>
      <c r="B34" t="s">
        <v>554</v>
      </c>
      <c r="C34" t="s">
        <v>429</v>
      </c>
      <c r="D34">
        <v>1</v>
      </c>
      <c r="E34" s="27">
        <v>32.75</v>
      </c>
      <c r="F34" s="28">
        <v>0.15</v>
      </c>
      <c r="G34" s="27">
        <v>27.84</v>
      </c>
      <c r="H34" s="27">
        <v>5.57</v>
      </c>
      <c r="I34" s="27">
        <v>33.41</v>
      </c>
      <c r="J34" s="29" cm="1">
        <f t="array" ref="J34">INDEX(Commandes!$B$2:$B$421,MATCH(B34,Commandes!$A$2:$A$421,0))</f>
        <v>45853</v>
      </c>
    </row>
    <row r="35" spans="1:10">
      <c r="A35" t="s">
        <v>1003</v>
      </c>
      <c r="B35" t="s">
        <v>554</v>
      </c>
      <c r="C35" t="s">
        <v>387</v>
      </c>
      <c r="D35">
        <v>4</v>
      </c>
      <c r="E35" s="27">
        <v>37.91</v>
      </c>
      <c r="F35" s="28">
        <v>0.15</v>
      </c>
      <c r="G35" s="27">
        <v>128.89</v>
      </c>
      <c r="H35" s="27">
        <v>25.78</v>
      </c>
      <c r="I35" s="27">
        <v>154.67</v>
      </c>
      <c r="J35" s="29" cm="1">
        <f t="array" ref="J35">INDEX(Commandes!$B$2:$B$421,MATCH(B35,Commandes!$A$2:$A$421,0))</f>
        <v>45853</v>
      </c>
    </row>
    <row r="36" spans="1:10">
      <c r="A36" t="s">
        <v>1004</v>
      </c>
      <c r="B36" t="s">
        <v>555</v>
      </c>
      <c r="C36" t="s">
        <v>433</v>
      </c>
      <c r="D36">
        <v>1</v>
      </c>
      <c r="E36" s="27">
        <v>58.14</v>
      </c>
      <c r="F36" s="28">
        <v>0.15</v>
      </c>
      <c r="G36" s="27">
        <v>49.42</v>
      </c>
      <c r="H36" s="27">
        <v>9.88</v>
      </c>
      <c r="I36" s="27">
        <v>59.3</v>
      </c>
      <c r="J36" s="29" cm="1">
        <f t="array" ref="J36">INDEX(Commandes!$B$2:$B$421,MATCH(B36,Commandes!$A$2:$A$421,0))</f>
        <v>45856</v>
      </c>
    </row>
    <row r="37" spans="1:10">
      <c r="A37" t="s">
        <v>1005</v>
      </c>
      <c r="B37" t="s">
        <v>555</v>
      </c>
      <c r="C37" t="s">
        <v>383</v>
      </c>
      <c r="D37">
        <v>1</v>
      </c>
      <c r="E37" s="27">
        <v>39.08</v>
      </c>
      <c r="F37" s="28">
        <v>0</v>
      </c>
      <c r="G37" s="27">
        <v>39.08</v>
      </c>
      <c r="H37" s="27">
        <v>7.82</v>
      </c>
      <c r="I37" s="27">
        <v>46.9</v>
      </c>
      <c r="J37" s="29" cm="1">
        <f t="array" ref="J37">INDEX(Commandes!$B$2:$B$421,MATCH(B37,Commandes!$A$2:$A$421,0))</f>
        <v>45856</v>
      </c>
    </row>
    <row r="38" spans="1:10">
      <c r="A38" t="s">
        <v>1006</v>
      </c>
      <c r="B38" t="s">
        <v>556</v>
      </c>
      <c r="C38" t="s">
        <v>380</v>
      </c>
      <c r="D38">
        <v>1</v>
      </c>
      <c r="E38" s="27">
        <v>80.3</v>
      </c>
      <c r="F38" s="28">
        <v>0</v>
      </c>
      <c r="G38" s="27">
        <v>80.3</v>
      </c>
      <c r="H38" s="27">
        <v>16.06</v>
      </c>
      <c r="I38" s="27">
        <v>96.36</v>
      </c>
      <c r="J38" s="29" cm="1">
        <f t="array" ref="J38">INDEX(Commandes!$B$2:$B$421,MATCH(B38,Commandes!$A$2:$A$421,0))</f>
        <v>45973</v>
      </c>
    </row>
    <row r="39" spans="1:10">
      <c r="A39" t="s">
        <v>1007</v>
      </c>
      <c r="B39" t="s">
        <v>558</v>
      </c>
      <c r="C39" t="s">
        <v>461</v>
      </c>
      <c r="D39">
        <v>5</v>
      </c>
      <c r="E39" s="27">
        <v>59.83</v>
      </c>
      <c r="F39" s="28">
        <v>0.05</v>
      </c>
      <c r="G39" s="27">
        <v>284.19</v>
      </c>
      <c r="H39" s="27">
        <v>56.84</v>
      </c>
      <c r="I39" s="27">
        <v>341.03</v>
      </c>
      <c r="J39" s="29" cm="1">
        <f t="array" ref="J39">INDEX(Commandes!$B$2:$B$421,MATCH(B39,Commandes!$A$2:$A$421,0))</f>
        <v>45673</v>
      </c>
    </row>
    <row r="40" spans="1:10">
      <c r="A40" t="s">
        <v>1008</v>
      </c>
      <c r="B40" t="s">
        <v>558</v>
      </c>
      <c r="C40" t="s">
        <v>469</v>
      </c>
      <c r="D40">
        <v>1</v>
      </c>
      <c r="E40" s="27">
        <v>30.71</v>
      </c>
      <c r="F40" s="28">
        <v>0</v>
      </c>
      <c r="G40" s="27">
        <v>30.71</v>
      </c>
      <c r="H40" s="27">
        <v>6.14</v>
      </c>
      <c r="I40" s="27">
        <v>36.85</v>
      </c>
      <c r="J40" s="29" cm="1">
        <f t="array" ref="J40">INDEX(Commandes!$B$2:$B$421,MATCH(B40,Commandes!$A$2:$A$421,0))</f>
        <v>45673</v>
      </c>
    </row>
    <row r="41" spans="1:10">
      <c r="A41" t="s">
        <v>1009</v>
      </c>
      <c r="B41" t="s">
        <v>559</v>
      </c>
      <c r="C41" t="s">
        <v>402</v>
      </c>
      <c r="D41">
        <v>3</v>
      </c>
      <c r="E41" s="27">
        <v>26.57</v>
      </c>
      <c r="F41" s="28">
        <v>0</v>
      </c>
      <c r="G41" s="27">
        <v>79.71</v>
      </c>
      <c r="H41" s="27">
        <v>15.94</v>
      </c>
      <c r="I41" s="27">
        <v>95.65</v>
      </c>
      <c r="J41" s="29" cm="1">
        <f t="array" ref="J41">INDEX(Commandes!$B$2:$B$421,MATCH(B41,Commandes!$A$2:$A$421,0))</f>
        <v>45906</v>
      </c>
    </row>
    <row r="42" spans="1:10">
      <c r="A42" t="s">
        <v>1010</v>
      </c>
      <c r="B42" t="s">
        <v>559</v>
      </c>
      <c r="C42" t="s">
        <v>446</v>
      </c>
      <c r="D42">
        <v>1</v>
      </c>
      <c r="E42" s="27">
        <v>454.43</v>
      </c>
      <c r="F42" s="28">
        <v>0</v>
      </c>
      <c r="G42" s="27">
        <v>454.43</v>
      </c>
      <c r="H42" s="27">
        <v>90.89</v>
      </c>
      <c r="I42" s="27">
        <v>545.32</v>
      </c>
      <c r="J42" s="29" cm="1">
        <f t="array" ref="J42">INDEX(Commandes!$B$2:$B$421,MATCH(B42,Commandes!$A$2:$A$421,0))</f>
        <v>45906</v>
      </c>
    </row>
    <row r="43" spans="1:10">
      <c r="A43" t="s">
        <v>1011</v>
      </c>
      <c r="B43" t="s">
        <v>559</v>
      </c>
      <c r="C43" t="s">
        <v>448</v>
      </c>
      <c r="D43">
        <v>1</v>
      </c>
      <c r="E43" s="27">
        <v>543.43</v>
      </c>
      <c r="F43" s="28">
        <v>0.05</v>
      </c>
      <c r="G43" s="27">
        <v>516.26</v>
      </c>
      <c r="H43" s="27">
        <v>103.25</v>
      </c>
      <c r="I43" s="27">
        <v>619.51</v>
      </c>
      <c r="J43" s="29" cm="1">
        <f t="array" ref="J43">INDEX(Commandes!$B$2:$B$421,MATCH(B43,Commandes!$A$2:$A$421,0))</f>
        <v>45906</v>
      </c>
    </row>
    <row r="44" spans="1:10">
      <c r="A44" t="s">
        <v>1012</v>
      </c>
      <c r="B44" t="s">
        <v>560</v>
      </c>
      <c r="C44" t="s">
        <v>465</v>
      </c>
      <c r="D44">
        <v>3</v>
      </c>
      <c r="E44" s="27">
        <v>44.16</v>
      </c>
      <c r="F44" s="28">
        <v>0</v>
      </c>
      <c r="G44" s="27">
        <v>132.48</v>
      </c>
      <c r="H44" s="27">
        <v>26.5</v>
      </c>
      <c r="I44" s="27">
        <v>158.98</v>
      </c>
      <c r="J44" s="29" cm="1">
        <f t="array" ref="J44">INDEX(Commandes!$B$2:$B$421,MATCH(B44,Commandes!$A$2:$A$421,0))</f>
        <v>45866</v>
      </c>
    </row>
    <row r="45" spans="1:10">
      <c r="A45" t="s">
        <v>1013</v>
      </c>
      <c r="B45" t="s">
        <v>561</v>
      </c>
      <c r="C45" t="s">
        <v>456</v>
      </c>
      <c r="D45">
        <v>8</v>
      </c>
      <c r="E45" s="27">
        <v>62.13</v>
      </c>
      <c r="F45" s="28">
        <v>0</v>
      </c>
      <c r="G45" s="27">
        <v>497.04</v>
      </c>
      <c r="H45" s="27">
        <v>99.41</v>
      </c>
      <c r="I45" s="27">
        <v>596.45</v>
      </c>
      <c r="J45" s="29" cm="1">
        <f t="array" ref="J45">INDEX(Commandes!$B$2:$B$421,MATCH(B45,Commandes!$A$2:$A$421,0))</f>
        <v>45651</v>
      </c>
    </row>
    <row r="46" spans="1:10">
      <c r="A46" t="s">
        <v>1014</v>
      </c>
      <c r="B46" t="s">
        <v>562</v>
      </c>
      <c r="C46" t="s">
        <v>414</v>
      </c>
      <c r="D46">
        <v>3</v>
      </c>
      <c r="E46" s="27">
        <v>63.96</v>
      </c>
      <c r="F46" s="28">
        <v>0.1</v>
      </c>
      <c r="G46" s="27">
        <v>172.69</v>
      </c>
      <c r="H46" s="27">
        <v>34.54</v>
      </c>
      <c r="I46" s="27">
        <v>207.23</v>
      </c>
      <c r="J46" s="29" cm="1">
        <f t="array" ref="J46">INDEX(Commandes!$B$2:$B$421,MATCH(B46,Commandes!$A$2:$A$421,0))</f>
        <v>45835</v>
      </c>
    </row>
    <row r="47" spans="1:10">
      <c r="A47" t="s">
        <v>1015</v>
      </c>
      <c r="B47" t="s">
        <v>562</v>
      </c>
      <c r="C47" t="s">
        <v>452</v>
      </c>
      <c r="D47">
        <v>1</v>
      </c>
      <c r="E47" s="27">
        <v>381.57</v>
      </c>
      <c r="F47" s="28">
        <v>0</v>
      </c>
      <c r="G47" s="27">
        <v>381.57</v>
      </c>
      <c r="H47" s="27">
        <v>76.31</v>
      </c>
      <c r="I47" s="27">
        <v>457.88</v>
      </c>
      <c r="J47" s="29" cm="1">
        <f t="array" ref="J47">INDEX(Commandes!$B$2:$B$421,MATCH(B47,Commandes!$A$2:$A$421,0))</f>
        <v>45835</v>
      </c>
    </row>
    <row r="48" spans="1:10">
      <c r="A48" t="s">
        <v>1016</v>
      </c>
      <c r="B48" t="s">
        <v>563</v>
      </c>
      <c r="C48" t="s">
        <v>438</v>
      </c>
      <c r="D48">
        <v>2</v>
      </c>
      <c r="E48" s="27">
        <v>295.97</v>
      </c>
      <c r="F48" s="28">
        <v>0.05</v>
      </c>
      <c r="G48" s="27">
        <v>562.34</v>
      </c>
      <c r="H48" s="27">
        <v>112.47</v>
      </c>
      <c r="I48" s="27">
        <v>674.81</v>
      </c>
      <c r="J48" s="29" cm="1">
        <f t="array" ref="J48">INDEX(Commandes!$B$2:$B$421,MATCH(B48,Commandes!$A$2:$A$421,0))</f>
        <v>45451</v>
      </c>
    </row>
    <row r="49" spans="1:10">
      <c r="A49" t="s">
        <v>1017</v>
      </c>
      <c r="B49" t="s">
        <v>563</v>
      </c>
      <c r="C49" t="s">
        <v>408</v>
      </c>
      <c r="D49">
        <v>1</v>
      </c>
      <c r="E49" s="27">
        <v>19.65</v>
      </c>
      <c r="F49" s="28">
        <v>0.1</v>
      </c>
      <c r="G49" s="27">
        <v>17.68</v>
      </c>
      <c r="H49" s="27">
        <v>3.54</v>
      </c>
      <c r="I49" s="27">
        <v>21.22</v>
      </c>
      <c r="J49" s="29" cm="1">
        <f t="array" ref="J49">INDEX(Commandes!$B$2:$B$421,MATCH(B49,Commandes!$A$2:$A$421,0))</f>
        <v>45451</v>
      </c>
    </row>
    <row r="50" spans="1:10">
      <c r="A50" t="s">
        <v>1018</v>
      </c>
      <c r="B50" t="s">
        <v>563</v>
      </c>
      <c r="C50" t="s">
        <v>387</v>
      </c>
      <c r="D50">
        <v>1</v>
      </c>
      <c r="E50" s="27">
        <v>37.91</v>
      </c>
      <c r="F50" s="28">
        <v>0</v>
      </c>
      <c r="G50" s="27">
        <v>37.91</v>
      </c>
      <c r="H50" s="27">
        <v>7.58</v>
      </c>
      <c r="I50" s="27">
        <v>45.49</v>
      </c>
      <c r="J50" s="29" cm="1">
        <f t="array" ref="J50">INDEX(Commandes!$B$2:$B$421,MATCH(B50,Commandes!$A$2:$A$421,0))</f>
        <v>45451</v>
      </c>
    </row>
    <row r="51" spans="1:10">
      <c r="A51" t="s">
        <v>1019</v>
      </c>
      <c r="B51" t="s">
        <v>564</v>
      </c>
      <c r="C51" t="s">
        <v>452</v>
      </c>
      <c r="D51">
        <v>1</v>
      </c>
      <c r="E51" s="27">
        <v>381.57</v>
      </c>
      <c r="F51" s="28">
        <v>0</v>
      </c>
      <c r="G51" s="27">
        <v>381.57</v>
      </c>
      <c r="H51" s="27">
        <v>76.31</v>
      </c>
      <c r="I51" s="27">
        <v>457.88</v>
      </c>
      <c r="J51" s="29" cm="1">
        <f t="array" ref="J51">INDEX(Commandes!$B$2:$B$421,MATCH(B51,Commandes!$A$2:$A$421,0))</f>
        <v>45582</v>
      </c>
    </row>
    <row r="52" spans="1:10">
      <c r="A52" t="s">
        <v>1020</v>
      </c>
      <c r="B52" t="s">
        <v>565</v>
      </c>
      <c r="C52" t="s">
        <v>429</v>
      </c>
      <c r="D52">
        <v>1</v>
      </c>
      <c r="E52" s="27">
        <v>32.75</v>
      </c>
      <c r="F52" s="28">
        <v>0.05</v>
      </c>
      <c r="G52" s="27">
        <v>31.11</v>
      </c>
      <c r="H52" s="27">
        <v>6.22</v>
      </c>
      <c r="I52" s="27">
        <v>37.33</v>
      </c>
      <c r="J52" s="29" cm="1">
        <f t="array" ref="J52">INDEX(Commandes!$B$2:$B$421,MATCH(B52,Commandes!$A$2:$A$421,0))</f>
        <v>45600</v>
      </c>
    </row>
    <row r="53" spans="1:10">
      <c r="A53" t="s">
        <v>1021</v>
      </c>
      <c r="B53" t="s">
        <v>565</v>
      </c>
      <c r="C53" t="s">
        <v>444</v>
      </c>
      <c r="D53">
        <v>3</v>
      </c>
      <c r="E53" s="27">
        <v>442.3</v>
      </c>
      <c r="F53" s="28">
        <v>0.1</v>
      </c>
      <c r="G53" s="27">
        <v>1194.21</v>
      </c>
      <c r="H53" s="27">
        <v>238.84</v>
      </c>
      <c r="I53" s="27">
        <v>1433.05</v>
      </c>
      <c r="J53" s="29" cm="1">
        <f t="array" ref="J53">INDEX(Commandes!$B$2:$B$421,MATCH(B53,Commandes!$A$2:$A$421,0))</f>
        <v>45600</v>
      </c>
    </row>
    <row r="54" spans="1:10">
      <c r="A54" t="s">
        <v>1022</v>
      </c>
      <c r="B54" t="s">
        <v>566</v>
      </c>
      <c r="C54" t="s">
        <v>377</v>
      </c>
      <c r="D54">
        <v>4</v>
      </c>
      <c r="E54" s="27">
        <v>84.94</v>
      </c>
      <c r="F54" s="28">
        <v>0.1</v>
      </c>
      <c r="G54" s="27">
        <v>305.78</v>
      </c>
      <c r="H54" s="27">
        <v>61.16</v>
      </c>
      <c r="I54" s="27">
        <v>366.94</v>
      </c>
      <c r="J54" s="29" cm="1">
        <f t="array" ref="J54">INDEX(Commandes!$B$2:$B$421,MATCH(B54,Commandes!$A$2:$A$421,0))</f>
        <v>45864</v>
      </c>
    </row>
    <row r="55" spans="1:10">
      <c r="A55" t="s">
        <v>1023</v>
      </c>
      <c r="B55" t="s">
        <v>567</v>
      </c>
      <c r="C55" t="s">
        <v>393</v>
      </c>
      <c r="D55">
        <v>3</v>
      </c>
      <c r="E55" s="27">
        <v>196.18</v>
      </c>
      <c r="F55" s="28">
        <v>0.1</v>
      </c>
      <c r="G55" s="27">
        <v>529.69</v>
      </c>
      <c r="H55" s="27">
        <v>105.94</v>
      </c>
      <c r="I55" s="27">
        <v>635.63</v>
      </c>
      <c r="J55" s="29" cm="1">
        <f t="array" ref="J55">INDEX(Commandes!$B$2:$B$421,MATCH(B55,Commandes!$A$2:$A$421,0))</f>
        <v>45731</v>
      </c>
    </row>
    <row r="56" spans="1:10">
      <c r="A56" t="s">
        <v>1024</v>
      </c>
      <c r="B56" t="s">
        <v>567</v>
      </c>
      <c r="C56" t="s">
        <v>433</v>
      </c>
      <c r="D56">
        <v>3</v>
      </c>
      <c r="E56" s="27">
        <v>58.14</v>
      </c>
      <c r="F56" s="28">
        <v>0</v>
      </c>
      <c r="G56" s="27">
        <v>174.42</v>
      </c>
      <c r="H56" s="27">
        <v>34.88</v>
      </c>
      <c r="I56" s="27">
        <v>209.3</v>
      </c>
      <c r="J56" s="29" cm="1">
        <f t="array" ref="J56">INDEX(Commandes!$B$2:$B$421,MATCH(B56,Commandes!$A$2:$A$421,0))</f>
        <v>45731</v>
      </c>
    </row>
    <row r="57" spans="1:10">
      <c r="A57" t="s">
        <v>1025</v>
      </c>
      <c r="B57" t="s">
        <v>567</v>
      </c>
      <c r="C57" t="s">
        <v>380</v>
      </c>
      <c r="D57">
        <v>1</v>
      </c>
      <c r="E57" s="27">
        <v>80.3</v>
      </c>
      <c r="F57" s="28">
        <v>0</v>
      </c>
      <c r="G57" s="27">
        <v>80.3</v>
      </c>
      <c r="H57" s="27">
        <v>16.06</v>
      </c>
      <c r="I57" s="27">
        <v>96.36</v>
      </c>
      <c r="J57" s="29" cm="1">
        <f t="array" ref="J57">INDEX(Commandes!$B$2:$B$421,MATCH(B57,Commandes!$A$2:$A$421,0))</f>
        <v>45731</v>
      </c>
    </row>
    <row r="58" spans="1:10">
      <c r="A58" t="s">
        <v>1026</v>
      </c>
      <c r="B58" t="s">
        <v>567</v>
      </c>
      <c r="C58" t="s">
        <v>404</v>
      </c>
      <c r="D58">
        <v>1</v>
      </c>
      <c r="E58" s="27">
        <v>30.09</v>
      </c>
      <c r="F58" s="28">
        <v>0.05</v>
      </c>
      <c r="G58" s="27">
        <v>28.59</v>
      </c>
      <c r="H58" s="27">
        <v>5.72</v>
      </c>
      <c r="I58" s="27">
        <v>34.31</v>
      </c>
      <c r="J58" s="29" cm="1">
        <f t="array" ref="J58">INDEX(Commandes!$B$2:$B$421,MATCH(B58,Commandes!$A$2:$A$421,0))</f>
        <v>45731</v>
      </c>
    </row>
    <row r="59" spans="1:10">
      <c r="A59" t="s">
        <v>1027</v>
      </c>
      <c r="B59" t="s">
        <v>567</v>
      </c>
      <c r="C59" t="s">
        <v>442</v>
      </c>
      <c r="D59">
        <v>1</v>
      </c>
      <c r="E59" s="27">
        <v>374.59</v>
      </c>
      <c r="F59" s="28">
        <v>0</v>
      </c>
      <c r="G59" s="27">
        <v>374.59</v>
      </c>
      <c r="H59" s="27">
        <v>74.92</v>
      </c>
      <c r="I59" s="27">
        <v>449.51</v>
      </c>
      <c r="J59" s="29" cm="1">
        <f t="array" ref="J59">INDEX(Commandes!$B$2:$B$421,MATCH(B59,Commandes!$A$2:$A$421,0))</f>
        <v>45731</v>
      </c>
    </row>
    <row r="60" spans="1:10">
      <c r="A60" t="s">
        <v>1028</v>
      </c>
      <c r="B60" t="s">
        <v>568</v>
      </c>
      <c r="C60" t="s">
        <v>419</v>
      </c>
      <c r="D60">
        <v>1</v>
      </c>
      <c r="E60" s="27">
        <v>100.34</v>
      </c>
      <c r="F60" s="28">
        <v>0.15</v>
      </c>
      <c r="G60" s="27">
        <v>85.29</v>
      </c>
      <c r="H60" s="27">
        <v>17.06</v>
      </c>
      <c r="I60" s="27">
        <v>102.35</v>
      </c>
      <c r="J60" s="29" cm="1">
        <f t="array" ref="J60">INDEX(Commandes!$B$2:$B$421,MATCH(B60,Commandes!$A$2:$A$421,0))</f>
        <v>45639</v>
      </c>
    </row>
    <row r="61" spans="1:10">
      <c r="A61" t="s">
        <v>1029</v>
      </c>
      <c r="B61" t="s">
        <v>568</v>
      </c>
      <c r="C61" t="s">
        <v>391</v>
      </c>
      <c r="D61">
        <v>1</v>
      </c>
      <c r="E61" s="27">
        <v>138.13</v>
      </c>
      <c r="F61" s="28">
        <v>0</v>
      </c>
      <c r="G61" s="27">
        <v>138.13</v>
      </c>
      <c r="H61" s="27">
        <v>27.63</v>
      </c>
      <c r="I61" s="27">
        <v>165.76</v>
      </c>
      <c r="J61" s="29" cm="1">
        <f t="array" ref="J61">INDEX(Commandes!$B$2:$B$421,MATCH(B61,Commandes!$A$2:$A$421,0))</f>
        <v>45639</v>
      </c>
    </row>
    <row r="62" spans="1:10">
      <c r="A62" t="s">
        <v>1030</v>
      </c>
      <c r="B62" t="s">
        <v>568</v>
      </c>
      <c r="C62" t="s">
        <v>406</v>
      </c>
      <c r="D62">
        <v>1</v>
      </c>
      <c r="E62" s="27">
        <v>18.86</v>
      </c>
      <c r="F62" s="28">
        <v>0.1</v>
      </c>
      <c r="G62" s="27">
        <v>16.97</v>
      </c>
      <c r="H62" s="27">
        <v>3.39</v>
      </c>
      <c r="I62" s="27">
        <v>20.36</v>
      </c>
      <c r="J62" s="29" cm="1">
        <f t="array" ref="J62">INDEX(Commandes!$B$2:$B$421,MATCH(B62,Commandes!$A$2:$A$421,0))</f>
        <v>45639</v>
      </c>
    </row>
    <row r="63" spans="1:10">
      <c r="A63" t="s">
        <v>1031</v>
      </c>
      <c r="B63" t="s">
        <v>568</v>
      </c>
      <c r="C63" t="s">
        <v>391</v>
      </c>
      <c r="D63">
        <v>3</v>
      </c>
      <c r="E63" s="27">
        <v>138.13</v>
      </c>
      <c r="F63" s="28">
        <v>0.15</v>
      </c>
      <c r="G63" s="27">
        <v>352.23</v>
      </c>
      <c r="H63" s="27">
        <v>70.45</v>
      </c>
      <c r="I63" s="27">
        <v>422.68</v>
      </c>
      <c r="J63" s="29" cm="1">
        <f t="array" ref="J63">INDEX(Commandes!$B$2:$B$421,MATCH(B63,Commandes!$A$2:$A$421,0))</f>
        <v>45639</v>
      </c>
    </row>
    <row r="64" spans="1:10">
      <c r="A64" t="s">
        <v>1032</v>
      </c>
      <c r="B64" t="s">
        <v>569</v>
      </c>
      <c r="C64" t="s">
        <v>456</v>
      </c>
      <c r="D64">
        <v>1</v>
      </c>
      <c r="E64" s="27">
        <v>62.13</v>
      </c>
      <c r="F64" s="28">
        <v>0.05</v>
      </c>
      <c r="G64" s="27">
        <v>59.02</v>
      </c>
      <c r="H64" s="27">
        <v>11.8</v>
      </c>
      <c r="I64" s="27">
        <v>70.82</v>
      </c>
      <c r="J64" s="29" cm="1">
        <f t="array" ref="J64">INDEX(Commandes!$B$2:$B$421,MATCH(B64,Commandes!$A$2:$A$421,0))</f>
        <v>45369</v>
      </c>
    </row>
    <row r="65" spans="1:10">
      <c r="A65" t="s">
        <v>1033</v>
      </c>
      <c r="B65" t="s">
        <v>569</v>
      </c>
      <c r="C65" t="s">
        <v>377</v>
      </c>
      <c r="D65">
        <v>2</v>
      </c>
      <c r="E65" s="27">
        <v>84.94</v>
      </c>
      <c r="F65" s="28">
        <v>0.15</v>
      </c>
      <c r="G65" s="27">
        <v>144.4</v>
      </c>
      <c r="H65" s="27">
        <v>28.88</v>
      </c>
      <c r="I65" s="27">
        <v>173.28</v>
      </c>
      <c r="J65" s="29" cm="1">
        <f t="array" ref="J65">INDEX(Commandes!$B$2:$B$421,MATCH(B65,Commandes!$A$2:$A$421,0))</f>
        <v>45369</v>
      </c>
    </row>
    <row r="66" spans="1:10">
      <c r="A66" t="s">
        <v>1034</v>
      </c>
      <c r="B66" t="s">
        <v>569</v>
      </c>
      <c r="C66" t="s">
        <v>412</v>
      </c>
      <c r="D66">
        <v>3</v>
      </c>
      <c r="E66" s="27">
        <v>114.1</v>
      </c>
      <c r="F66" s="28">
        <v>0.1</v>
      </c>
      <c r="G66" s="27">
        <v>308.07</v>
      </c>
      <c r="H66" s="27">
        <v>61.61</v>
      </c>
      <c r="I66" s="27">
        <v>369.68</v>
      </c>
      <c r="J66" s="29" cm="1">
        <f t="array" ref="J66">INDEX(Commandes!$B$2:$B$421,MATCH(B66,Commandes!$A$2:$A$421,0))</f>
        <v>45369</v>
      </c>
    </row>
    <row r="67" spans="1:10">
      <c r="A67" t="s">
        <v>1035</v>
      </c>
      <c r="B67" t="s">
        <v>569</v>
      </c>
      <c r="C67" t="s">
        <v>374</v>
      </c>
      <c r="D67">
        <v>1</v>
      </c>
      <c r="E67" s="27">
        <v>251.56</v>
      </c>
      <c r="F67" s="28">
        <v>0</v>
      </c>
      <c r="G67" s="27">
        <v>251.56</v>
      </c>
      <c r="H67" s="27">
        <v>50.31</v>
      </c>
      <c r="I67" s="27">
        <v>301.87</v>
      </c>
      <c r="J67" s="29" cm="1">
        <f t="array" ref="J67">INDEX(Commandes!$B$2:$B$421,MATCH(B67,Commandes!$A$2:$A$421,0))</f>
        <v>45369</v>
      </c>
    </row>
    <row r="68" spans="1:10">
      <c r="A68" t="s">
        <v>1036</v>
      </c>
      <c r="B68" t="s">
        <v>570</v>
      </c>
      <c r="C68" t="s">
        <v>380</v>
      </c>
      <c r="D68">
        <v>2</v>
      </c>
      <c r="E68" s="27">
        <v>80.3</v>
      </c>
      <c r="F68" s="28">
        <v>0.1</v>
      </c>
      <c r="G68" s="27">
        <v>144.54</v>
      </c>
      <c r="H68" s="27">
        <v>28.91</v>
      </c>
      <c r="I68" s="27">
        <v>173.45</v>
      </c>
      <c r="J68" s="29" cm="1">
        <f t="array" ref="J68">INDEX(Commandes!$B$2:$B$421,MATCH(B68,Commandes!$A$2:$A$421,0))</f>
        <v>45609</v>
      </c>
    </row>
    <row r="69" spans="1:10">
      <c r="A69" t="s">
        <v>1037</v>
      </c>
      <c r="B69" t="s">
        <v>570</v>
      </c>
      <c r="C69" t="s">
        <v>423</v>
      </c>
      <c r="D69">
        <v>2</v>
      </c>
      <c r="E69" s="27">
        <v>46.02</v>
      </c>
      <c r="F69" s="28">
        <v>0.1</v>
      </c>
      <c r="G69" s="27">
        <v>82.84</v>
      </c>
      <c r="H69" s="27">
        <v>16.57</v>
      </c>
      <c r="I69" s="27">
        <v>99.41</v>
      </c>
      <c r="J69" s="29" cm="1">
        <f t="array" ref="J69">INDEX(Commandes!$B$2:$B$421,MATCH(B69,Commandes!$A$2:$A$421,0))</f>
        <v>45609</v>
      </c>
    </row>
    <row r="70" spans="1:10">
      <c r="A70" t="s">
        <v>1038</v>
      </c>
      <c r="B70" t="s">
        <v>571</v>
      </c>
      <c r="C70" t="s">
        <v>431</v>
      </c>
      <c r="D70">
        <v>1</v>
      </c>
      <c r="E70" s="27">
        <v>47.74</v>
      </c>
      <c r="F70" s="28">
        <v>0</v>
      </c>
      <c r="G70" s="27">
        <v>47.74</v>
      </c>
      <c r="H70" s="27">
        <v>9.55</v>
      </c>
      <c r="I70" s="27">
        <v>57.29</v>
      </c>
      <c r="J70" s="29" cm="1">
        <f t="array" ref="J70">INDEX(Commandes!$B$2:$B$421,MATCH(B70,Commandes!$A$2:$A$421,0))</f>
        <v>45334</v>
      </c>
    </row>
    <row r="71" spans="1:10">
      <c r="A71" t="s">
        <v>1039</v>
      </c>
      <c r="B71" t="s">
        <v>571</v>
      </c>
      <c r="C71" t="s">
        <v>467</v>
      </c>
      <c r="D71">
        <v>1</v>
      </c>
      <c r="E71" s="27">
        <v>49.53</v>
      </c>
      <c r="F71" s="28">
        <v>0.15</v>
      </c>
      <c r="G71" s="27">
        <v>42.1</v>
      </c>
      <c r="H71" s="27">
        <v>8.42</v>
      </c>
      <c r="I71" s="27">
        <v>50.52</v>
      </c>
      <c r="J71" s="29" cm="1">
        <f t="array" ref="J71">INDEX(Commandes!$B$2:$B$421,MATCH(B71,Commandes!$A$2:$A$421,0))</f>
        <v>45334</v>
      </c>
    </row>
    <row r="72" spans="1:10">
      <c r="A72" t="s">
        <v>1040</v>
      </c>
      <c r="B72" t="s">
        <v>571</v>
      </c>
      <c r="C72" t="s">
        <v>396</v>
      </c>
      <c r="D72">
        <v>1</v>
      </c>
      <c r="E72" s="27">
        <v>225.64</v>
      </c>
      <c r="F72" s="28">
        <v>0.15</v>
      </c>
      <c r="G72" s="27">
        <v>191.79</v>
      </c>
      <c r="H72" s="27">
        <v>38.36</v>
      </c>
      <c r="I72" s="27">
        <v>230.15</v>
      </c>
      <c r="J72" s="29" cm="1">
        <f t="array" ref="J72">INDEX(Commandes!$B$2:$B$421,MATCH(B72,Commandes!$A$2:$A$421,0))</f>
        <v>45334</v>
      </c>
    </row>
    <row r="73" spans="1:10">
      <c r="A73" t="s">
        <v>1041</v>
      </c>
      <c r="B73" t="s">
        <v>571</v>
      </c>
      <c r="C73" t="s">
        <v>431</v>
      </c>
      <c r="D73">
        <v>10</v>
      </c>
      <c r="E73" s="27">
        <v>47.74</v>
      </c>
      <c r="F73" s="28">
        <v>0.1</v>
      </c>
      <c r="G73" s="27">
        <v>429.66</v>
      </c>
      <c r="H73" s="27">
        <v>85.93</v>
      </c>
      <c r="I73" s="27">
        <v>515.59</v>
      </c>
      <c r="J73" s="29" cm="1">
        <f t="array" ref="J73">INDEX(Commandes!$B$2:$B$421,MATCH(B73,Commandes!$A$2:$A$421,0))</f>
        <v>45334</v>
      </c>
    </row>
    <row r="74" spans="1:10">
      <c r="A74" t="s">
        <v>1042</v>
      </c>
      <c r="B74" t="s">
        <v>571</v>
      </c>
      <c r="C74" t="s">
        <v>442</v>
      </c>
      <c r="D74">
        <v>2</v>
      </c>
      <c r="E74" s="27">
        <v>374.59</v>
      </c>
      <c r="F74" s="28">
        <v>0</v>
      </c>
      <c r="G74" s="27">
        <v>749.18</v>
      </c>
      <c r="H74" s="27">
        <v>149.84</v>
      </c>
      <c r="I74" s="27">
        <v>899.02</v>
      </c>
      <c r="J74" s="29" cm="1">
        <f t="array" ref="J74">INDEX(Commandes!$B$2:$B$421,MATCH(B74,Commandes!$A$2:$A$421,0))</f>
        <v>45334</v>
      </c>
    </row>
    <row r="75" spans="1:10">
      <c r="A75" t="s">
        <v>1043</v>
      </c>
      <c r="B75" t="s">
        <v>572</v>
      </c>
      <c r="C75" t="s">
        <v>459</v>
      </c>
      <c r="D75">
        <v>1</v>
      </c>
      <c r="E75" s="27">
        <v>70.8</v>
      </c>
      <c r="F75" s="28">
        <v>0</v>
      </c>
      <c r="G75" s="27">
        <v>70.8</v>
      </c>
      <c r="H75" s="27">
        <v>14.16</v>
      </c>
      <c r="I75" s="27">
        <v>84.96</v>
      </c>
      <c r="J75" s="29" cm="1">
        <f t="array" ref="J75">INDEX(Commandes!$B$2:$B$421,MATCH(B75,Commandes!$A$2:$A$421,0))</f>
        <v>45673</v>
      </c>
    </row>
    <row r="76" spans="1:10">
      <c r="A76" t="s">
        <v>1044</v>
      </c>
      <c r="B76" t="s">
        <v>572</v>
      </c>
      <c r="C76" t="s">
        <v>383</v>
      </c>
      <c r="D76">
        <v>2</v>
      </c>
      <c r="E76" s="27">
        <v>39.08</v>
      </c>
      <c r="F76" s="28">
        <v>0.05</v>
      </c>
      <c r="G76" s="27">
        <v>74.25</v>
      </c>
      <c r="H76" s="27">
        <v>14.85</v>
      </c>
      <c r="I76" s="27">
        <v>89.1</v>
      </c>
      <c r="J76" s="29" cm="1">
        <f t="array" ref="J76">INDEX(Commandes!$B$2:$B$421,MATCH(B76,Commandes!$A$2:$A$421,0))</f>
        <v>45673</v>
      </c>
    </row>
    <row r="77" spans="1:10">
      <c r="A77" t="s">
        <v>1045</v>
      </c>
      <c r="B77" t="s">
        <v>572</v>
      </c>
      <c r="C77" t="s">
        <v>410</v>
      </c>
      <c r="D77">
        <v>1</v>
      </c>
      <c r="E77" s="27">
        <v>106.93</v>
      </c>
      <c r="F77" s="28">
        <v>0.15</v>
      </c>
      <c r="G77" s="27">
        <v>90.89</v>
      </c>
      <c r="H77" s="27">
        <v>18.18</v>
      </c>
      <c r="I77" s="27">
        <v>109.07</v>
      </c>
      <c r="J77" s="29" cm="1">
        <f t="array" ref="J77">INDEX(Commandes!$B$2:$B$421,MATCH(B77,Commandes!$A$2:$A$421,0))</f>
        <v>45673</v>
      </c>
    </row>
    <row r="78" spans="1:10">
      <c r="A78" t="s">
        <v>1046</v>
      </c>
      <c r="B78" t="s">
        <v>573</v>
      </c>
      <c r="C78" t="s">
        <v>459</v>
      </c>
      <c r="D78">
        <v>2</v>
      </c>
      <c r="E78" s="27">
        <v>70.8</v>
      </c>
      <c r="F78" s="28">
        <v>0.05</v>
      </c>
      <c r="G78" s="27">
        <v>134.52</v>
      </c>
      <c r="H78" s="27">
        <v>26.9</v>
      </c>
      <c r="I78" s="27">
        <v>161.42</v>
      </c>
      <c r="J78" s="29" cm="1">
        <f t="array" ref="J78">INDEX(Commandes!$B$2:$B$421,MATCH(B78,Commandes!$A$2:$A$421,0))</f>
        <v>45909</v>
      </c>
    </row>
    <row r="79" spans="1:10">
      <c r="A79" t="s">
        <v>1047</v>
      </c>
      <c r="B79" t="s">
        <v>573</v>
      </c>
      <c r="C79" t="s">
        <v>389</v>
      </c>
      <c r="D79">
        <v>2</v>
      </c>
      <c r="E79" s="27">
        <v>120.37</v>
      </c>
      <c r="F79" s="28">
        <v>0</v>
      </c>
      <c r="G79" s="27">
        <v>240.74</v>
      </c>
      <c r="H79" s="27">
        <v>48.15</v>
      </c>
      <c r="I79" s="27">
        <v>288.89</v>
      </c>
      <c r="J79" s="29" cm="1">
        <f t="array" ref="J79">INDEX(Commandes!$B$2:$B$421,MATCH(B79,Commandes!$A$2:$A$421,0))</f>
        <v>45909</v>
      </c>
    </row>
    <row r="80" spans="1:10">
      <c r="A80" t="s">
        <v>1048</v>
      </c>
      <c r="B80" t="s">
        <v>574</v>
      </c>
      <c r="C80" t="s">
        <v>370</v>
      </c>
      <c r="D80">
        <v>1</v>
      </c>
      <c r="E80" s="27">
        <v>970.58</v>
      </c>
      <c r="F80" s="28">
        <v>0</v>
      </c>
      <c r="G80" s="27">
        <v>970.58</v>
      </c>
      <c r="H80" s="27">
        <v>194.12</v>
      </c>
      <c r="I80" s="27">
        <v>1164.7</v>
      </c>
      <c r="J80" s="29" cm="1">
        <f t="array" ref="J80">INDEX(Commandes!$B$2:$B$421,MATCH(B80,Commandes!$A$2:$A$421,0))</f>
        <v>45609</v>
      </c>
    </row>
    <row r="81" spans="1:10">
      <c r="A81" t="s">
        <v>1049</v>
      </c>
      <c r="B81" t="s">
        <v>574</v>
      </c>
      <c r="C81" t="s">
        <v>400</v>
      </c>
      <c r="D81">
        <v>1</v>
      </c>
      <c r="E81" s="27">
        <v>328.03</v>
      </c>
      <c r="F81" s="28">
        <v>0.05</v>
      </c>
      <c r="G81" s="27">
        <v>311.63</v>
      </c>
      <c r="H81" s="27">
        <v>62.33</v>
      </c>
      <c r="I81" s="27">
        <v>373.96</v>
      </c>
      <c r="J81" s="29" cm="1">
        <f t="array" ref="J81">INDEX(Commandes!$B$2:$B$421,MATCH(B81,Commandes!$A$2:$A$421,0))</f>
        <v>45609</v>
      </c>
    </row>
    <row r="82" spans="1:10">
      <c r="A82" t="s">
        <v>1050</v>
      </c>
      <c r="B82" t="s">
        <v>575</v>
      </c>
      <c r="C82" t="s">
        <v>475</v>
      </c>
      <c r="D82">
        <v>2</v>
      </c>
      <c r="E82" s="27">
        <v>42</v>
      </c>
      <c r="F82" s="28">
        <v>0.1</v>
      </c>
      <c r="G82" s="27">
        <v>75.6</v>
      </c>
      <c r="H82" s="27">
        <v>15.12</v>
      </c>
      <c r="I82" s="27">
        <v>90.72</v>
      </c>
      <c r="J82" s="29" cm="1">
        <f t="array" ref="J82">INDEX(Commandes!$B$2:$B$421,MATCH(B82,Commandes!$A$2:$A$421,0))</f>
        <v>45488</v>
      </c>
    </row>
    <row r="83" spans="1:10">
      <c r="A83" t="s">
        <v>1051</v>
      </c>
      <c r="B83" t="s">
        <v>575</v>
      </c>
      <c r="C83" t="s">
        <v>423</v>
      </c>
      <c r="D83">
        <v>1</v>
      </c>
      <c r="E83" s="27">
        <v>46.02</v>
      </c>
      <c r="F83" s="28">
        <v>0</v>
      </c>
      <c r="G83" s="27">
        <v>46.02</v>
      </c>
      <c r="H83" s="27">
        <v>9.2</v>
      </c>
      <c r="I83" s="27">
        <v>55.22</v>
      </c>
      <c r="J83" s="29" cm="1">
        <f t="array" ref="J83">INDEX(Commandes!$B$2:$B$421,MATCH(B83,Commandes!$A$2:$A$421,0))</f>
        <v>45488</v>
      </c>
    </row>
    <row r="84" spans="1:10">
      <c r="A84" t="s">
        <v>1052</v>
      </c>
      <c r="B84" t="s">
        <v>575</v>
      </c>
      <c r="C84" t="s">
        <v>465</v>
      </c>
      <c r="D84">
        <v>3</v>
      </c>
      <c r="E84" s="27">
        <v>44.16</v>
      </c>
      <c r="F84" s="28">
        <v>0</v>
      </c>
      <c r="G84" s="27">
        <v>132.48</v>
      </c>
      <c r="H84" s="27">
        <v>26.5</v>
      </c>
      <c r="I84" s="27">
        <v>158.98</v>
      </c>
      <c r="J84" s="29" cm="1">
        <f t="array" ref="J84">INDEX(Commandes!$B$2:$B$421,MATCH(B84,Commandes!$A$2:$A$421,0))</f>
        <v>45488</v>
      </c>
    </row>
    <row r="85" spans="1:10">
      <c r="A85" t="s">
        <v>1053</v>
      </c>
      <c r="B85" t="s">
        <v>576</v>
      </c>
      <c r="C85" t="s">
        <v>473</v>
      </c>
      <c r="D85">
        <v>3</v>
      </c>
      <c r="E85" s="27">
        <v>40.73</v>
      </c>
      <c r="F85" s="28">
        <v>0.05</v>
      </c>
      <c r="G85" s="27">
        <v>116.08</v>
      </c>
      <c r="H85" s="27">
        <v>23.22</v>
      </c>
      <c r="I85" s="27">
        <v>139.3</v>
      </c>
      <c r="J85" s="29" cm="1">
        <f t="array" ref="J85">INDEX(Commandes!$B$2:$B$421,MATCH(B85,Commandes!$A$2:$A$421,0))</f>
        <v>45740</v>
      </c>
    </row>
    <row r="86" spans="1:10">
      <c r="A86" t="s">
        <v>1054</v>
      </c>
      <c r="B86" t="s">
        <v>576</v>
      </c>
      <c r="C86" t="s">
        <v>402</v>
      </c>
      <c r="D86">
        <v>2</v>
      </c>
      <c r="E86" s="27">
        <v>26.57</v>
      </c>
      <c r="F86" s="28">
        <v>0</v>
      </c>
      <c r="G86" s="27">
        <v>53.14</v>
      </c>
      <c r="H86" s="27">
        <v>10.63</v>
      </c>
      <c r="I86" s="27">
        <v>63.77</v>
      </c>
      <c r="J86" s="29" cm="1">
        <f t="array" ref="J86">INDEX(Commandes!$B$2:$B$421,MATCH(B86,Commandes!$A$2:$A$421,0))</f>
        <v>45740</v>
      </c>
    </row>
    <row r="87" spans="1:10">
      <c r="A87" t="s">
        <v>1055</v>
      </c>
      <c r="B87" t="s">
        <v>577</v>
      </c>
      <c r="C87" t="s">
        <v>475</v>
      </c>
      <c r="D87">
        <v>1</v>
      </c>
      <c r="E87" s="27">
        <v>42</v>
      </c>
      <c r="F87" s="28">
        <v>0.1</v>
      </c>
      <c r="G87" s="27">
        <v>37.8</v>
      </c>
      <c r="H87" s="27">
        <v>7.56</v>
      </c>
      <c r="I87" s="27">
        <v>45.36</v>
      </c>
      <c r="J87" s="29" cm="1">
        <f t="array" ref="J87">INDEX(Commandes!$B$2:$B$421,MATCH(B87,Commandes!$A$2:$A$421,0))</f>
        <v>45772</v>
      </c>
    </row>
    <row r="88" spans="1:10">
      <c r="A88" t="s">
        <v>1056</v>
      </c>
      <c r="B88" t="s">
        <v>577</v>
      </c>
      <c r="C88" t="s">
        <v>427</v>
      </c>
      <c r="D88">
        <v>8</v>
      </c>
      <c r="E88" s="27">
        <v>25.25</v>
      </c>
      <c r="F88" s="28">
        <v>0</v>
      </c>
      <c r="G88" s="27">
        <v>202</v>
      </c>
      <c r="H88" s="27">
        <v>40.4</v>
      </c>
      <c r="I88" s="27">
        <v>242.4</v>
      </c>
      <c r="J88" s="29" cm="1">
        <f t="array" ref="J88">INDEX(Commandes!$B$2:$B$421,MATCH(B88,Commandes!$A$2:$A$421,0))</f>
        <v>45772</v>
      </c>
    </row>
    <row r="89" spans="1:10">
      <c r="A89" t="s">
        <v>1057</v>
      </c>
      <c r="B89" t="s">
        <v>577</v>
      </c>
      <c r="C89" t="s">
        <v>452</v>
      </c>
      <c r="D89">
        <v>1</v>
      </c>
      <c r="E89" s="27">
        <v>381.57</v>
      </c>
      <c r="F89" s="28">
        <v>0</v>
      </c>
      <c r="G89" s="27">
        <v>381.57</v>
      </c>
      <c r="H89" s="27">
        <v>76.31</v>
      </c>
      <c r="I89" s="27">
        <v>457.88</v>
      </c>
      <c r="J89" s="29" cm="1">
        <f t="array" ref="J89">INDEX(Commandes!$B$2:$B$421,MATCH(B89,Commandes!$A$2:$A$421,0))</f>
        <v>45772</v>
      </c>
    </row>
    <row r="90" spans="1:10">
      <c r="A90" t="s">
        <v>1058</v>
      </c>
      <c r="B90" t="s">
        <v>578</v>
      </c>
      <c r="C90" t="s">
        <v>473</v>
      </c>
      <c r="D90">
        <v>1</v>
      </c>
      <c r="E90" s="27">
        <v>40.73</v>
      </c>
      <c r="F90" s="28">
        <v>0.05</v>
      </c>
      <c r="G90" s="27">
        <v>38.69</v>
      </c>
      <c r="H90" s="27">
        <v>7.74</v>
      </c>
      <c r="I90" s="27">
        <v>46.43</v>
      </c>
      <c r="J90" s="29" cm="1">
        <f t="array" ref="J90">INDEX(Commandes!$B$2:$B$421,MATCH(B90,Commandes!$A$2:$A$421,0))</f>
        <v>45345</v>
      </c>
    </row>
    <row r="91" spans="1:10">
      <c r="A91" t="s">
        <v>1059</v>
      </c>
      <c r="B91" t="s">
        <v>579</v>
      </c>
      <c r="C91" t="s">
        <v>370</v>
      </c>
      <c r="D91">
        <v>1</v>
      </c>
      <c r="E91" s="27">
        <v>970.58</v>
      </c>
      <c r="F91" s="28">
        <v>0.05</v>
      </c>
      <c r="G91" s="27">
        <v>922.05</v>
      </c>
      <c r="H91" s="27">
        <v>184.41</v>
      </c>
      <c r="I91" s="27">
        <v>1106.46</v>
      </c>
      <c r="J91" s="29" cm="1">
        <f t="array" ref="J91">INDEX(Commandes!$B$2:$B$421,MATCH(B91,Commandes!$A$2:$A$421,0))</f>
        <v>45817</v>
      </c>
    </row>
    <row r="92" spans="1:10">
      <c r="A92" t="s">
        <v>1060</v>
      </c>
      <c r="B92" t="s">
        <v>579</v>
      </c>
      <c r="C92" t="s">
        <v>440</v>
      </c>
      <c r="D92">
        <v>1</v>
      </c>
      <c r="E92" s="27">
        <v>391.34</v>
      </c>
      <c r="F92" s="28">
        <v>0.05</v>
      </c>
      <c r="G92" s="27">
        <v>371.77</v>
      </c>
      <c r="H92" s="27">
        <v>74.35</v>
      </c>
      <c r="I92" s="27">
        <v>446.12</v>
      </c>
      <c r="J92" s="29" cm="1">
        <f t="array" ref="J92">INDEX(Commandes!$B$2:$B$421,MATCH(B92,Commandes!$A$2:$A$421,0))</f>
        <v>45817</v>
      </c>
    </row>
    <row r="93" spans="1:10">
      <c r="A93" t="s">
        <v>1061</v>
      </c>
      <c r="B93" t="s">
        <v>579</v>
      </c>
      <c r="C93" t="s">
        <v>380</v>
      </c>
      <c r="D93">
        <v>1</v>
      </c>
      <c r="E93" s="27">
        <v>80.3</v>
      </c>
      <c r="F93" s="28">
        <v>0</v>
      </c>
      <c r="G93" s="27">
        <v>80.3</v>
      </c>
      <c r="H93" s="27">
        <v>16.06</v>
      </c>
      <c r="I93" s="27">
        <v>96.36</v>
      </c>
      <c r="J93" s="29" cm="1">
        <f t="array" ref="J93">INDEX(Commandes!$B$2:$B$421,MATCH(B93,Commandes!$A$2:$A$421,0))</f>
        <v>45817</v>
      </c>
    </row>
    <row r="94" spans="1:10">
      <c r="A94" t="s">
        <v>1062</v>
      </c>
      <c r="B94" t="s">
        <v>579</v>
      </c>
      <c r="C94" t="s">
        <v>414</v>
      </c>
      <c r="D94">
        <v>5</v>
      </c>
      <c r="E94" s="27">
        <v>63.96</v>
      </c>
      <c r="F94" s="28">
        <v>0.15</v>
      </c>
      <c r="G94" s="27">
        <v>271.83</v>
      </c>
      <c r="H94" s="27">
        <v>54.37</v>
      </c>
      <c r="I94" s="27">
        <v>326.2</v>
      </c>
      <c r="J94" s="29" cm="1">
        <f t="array" ref="J94">INDEX(Commandes!$B$2:$B$421,MATCH(B94,Commandes!$A$2:$A$421,0))</f>
        <v>45817</v>
      </c>
    </row>
    <row r="95" spans="1:10">
      <c r="A95" t="s">
        <v>1063</v>
      </c>
      <c r="B95" t="s">
        <v>580</v>
      </c>
      <c r="C95" t="s">
        <v>435</v>
      </c>
      <c r="D95">
        <v>1</v>
      </c>
      <c r="E95" s="27">
        <v>262.34</v>
      </c>
      <c r="F95" s="28">
        <v>0</v>
      </c>
      <c r="G95" s="27">
        <v>262.34</v>
      </c>
      <c r="H95" s="27">
        <v>52.47</v>
      </c>
      <c r="I95" s="27">
        <v>314.81</v>
      </c>
      <c r="J95" s="29" cm="1">
        <f t="array" ref="J95">INDEX(Commandes!$B$2:$B$421,MATCH(B95,Commandes!$A$2:$A$421,0))</f>
        <v>45957</v>
      </c>
    </row>
    <row r="96" spans="1:10">
      <c r="A96" t="s">
        <v>1064</v>
      </c>
      <c r="B96" t="s">
        <v>580</v>
      </c>
      <c r="C96" t="s">
        <v>380</v>
      </c>
      <c r="D96">
        <v>1</v>
      </c>
      <c r="E96" s="27">
        <v>80.3</v>
      </c>
      <c r="F96" s="28">
        <v>0</v>
      </c>
      <c r="G96" s="27">
        <v>80.3</v>
      </c>
      <c r="H96" s="27">
        <v>16.06</v>
      </c>
      <c r="I96" s="27">
        <v>96.36</v>
      </c>
      <c r="J96" s="29" cm="1">
        <f t="array" ref="J96">INDEX(Commandes!$B$2:$B$421,MATCH(B96,Commandes!$A$2:$A$421,0))</f>
        <v>45957</v>
      </c>
    </row>
    <row r="97" spans="1:10">
      <c r="A97" t="s">
        <v>1065</v>
      </c>
      <c r="B97" t="s">
        <v>580</v>
      </c>
      <c r="C97" t="s">
        <v>391</v>
      </c>
      <c r="D97">
        <v>2</v>
      </c>
      <c r="E97" s="27">
        <v>138.13</v>
      </c>
      <c r="F97" s="28">
        <v>0.15</v>
      </c>
      <c r="G97" s="27">
        <v>234.82</v>
      </c>
      <c r="H97" s="27">
        <v>46.96</v>
      </c>
      <c r="I97" s="27">
        <v>281.78</v>
      </c>
      <c r="J97" s="29" cm="1">
        <f t="array" ref="J97">INDEX(Commandes!$B$2:$B$421,MATCH(B97,Commandes!$A$2:$A$421,0))</f>
        <v>45957</v>
      </c>
    </row>
    <row r="98" spans="1:10">
      <c r="A98" t="s">
        <v>1066</v>
      </c>
      <c r="B98" t="s">
        <v>581</v>
      </c>
      <c r="C98" t="s">
        <v>404</v>
      </c>
      <c r="D98">
        <v>1</v>
      </c>
      <c r="E98" s="27">
        <v>30.09</v>
      </c>
      <c r="F98" s="28">
        <v>0.1</v>
      </c>
      <c r="G98" s="27">
        <v>27.08</v>
      </c>
      <c r="H98" s="27">
        <v>5.42</v>
      </c>
      <c r="I98" s="27">
        <v>32.5</v>
      </c>
      <c r="J98" s="29" cm="1">
        <f t="array" ref="J98">INDEX(Commandes!$B$2:$B$421,MATCH(B98,Commandes!$A$2:$A$421,0))</f>
        <v>45915</v>
      </c>
    </row>
    <row r="99" spans="1:10">
      <c r="A99" t="s">
        <v>1067</v>
      </c>
      <c r="B99" t="s">
        <v>582</v>
      </c>
      <c r="C99" t="s">
        <v>410</v>
      </c>
      <c r="D99">
        <v>1</v>
      </c>
      <c r="E99" s="27">
        <v>106.93</v>
      </c>
      <c r="F99" s="28">
        <v>0.1</v>
      </c>
      <c r="G99" s="27">
        <v>96.24</v>
      </c>
      <c r="H99" s="27">
        <v>19.25</v>
      </c>
      <c r="I99" s="27">
        <v>115.49</v>
      </c>
      <c r="J99" s="29" cm="1">
        <f t="array" ref="J99">INDEX(Commandes!$B$2:$B$421,MATCH(B99,Commandes!$A$2:$A$421,0))</f>
        <v>45760</v>
      </c>
    </row>
    <row r="100" spans="1:10">
      <c r="A100" t="s">
        <v>1068</v>
      </c>
      <c r="B100" t="s">
        <v>582</v>
      </c>
      <c r="C100" t="s">
        <v>419</v>
      </c>
      <c r="D100">
        <v>1</v>
      </c>
      <c r="E100" s="27">
        <v>100.34</v>
      </c>
      <c r="F100" s="28">
        <v>0.05</v>
      </c>
      <c r="G100" s="27">
        <v>95.32</v>
      </c>
      <c r="H100" s="27">
        <v>19.06</v>
      </c>
      <c r="I100" s="27">
        <v>114.38</v>
      </c>
      <c r="J100" s="29" cm="1">
        <f t="array" ref="J100">INDEX(Commandes!$B$2:$B$421,MATCH(B100,Commandes!$A$2:$A$421,0))</f>
        <v>45760</v>
      </c>
    </row>
    <row r="101" spans="1:10">
      <c r="A101" t="s">
        <v>1069</v>
      </c>
      <c r="B101" t="s">
        <v>582</v>
      </c>
      <c r="C101" t="s">
        <v>396</v>
      </c>
      <c r="D101">
        <v>2</v>
      </c>
      <c r="E101" s="27">
        <v>225.64</v>
      </c>
      <c r="F101" s="28">
        <v>0</v>
      </c>
      <c r="G101" s="27">
        <v>451.28</v>
      </c>
      <c r="H101" s="27">
        <v>90.26</v>
      </c>
      <c r="I101" s="27">
        <v>541.54</v>
      </c>
      <c r="J101" s="29" cm="1">
        <f t="array" ref="J101">INDEX(Commandes!$B$2:$B$421,MATCH(B101,Commandes!$A$2:$A$421,0))</f>
        <v>45760</v>
      </c>
    </row>
    <row r="102" spans="1:10">
      <c r="A102" t="s">
        <v>1070</v>
      </c>
      <c r="B102" t="s">
        <v>583</v>
      </c>
      <c r="C102" t="s">
        <v>421</v>
      </c>
      <c r="D102">
        <v>1</v>
      </c>
      <c r="E102" s="27">
        <v>78.78</v>
      </c>
      <c r="F102" s="28">
        <v>0</v>
      </c>
      <c r="G102" s="27">
        <v>78.78</v>
      </c>
      <c r="H102" s="27">
        <v>15.76</v>
      </c>
      <c r="I102" s="27">
        <v>94.54</v>
      </c>
      <c r="J102" s="29" cm="1">
        <f t="array" ref="J102">INDEX(Commandes!$B$2:$B$421,MATCH(B102,Commandes!$A$2:$A$421,0))</f>
        <v>45828</v>
      </c>
    </row>
    <row r="103" spans="1:10">
      <c r="A103" t="s">
        <v>1071</v>
      </c>
      <c r="B103" t="s">
        <v>583</v>
      </c>
      <c r="C103" t="s">
        <v>419</v>
      </c>
      <c r="D103">
        <v>3</v>
      </c>
      <c r="E103" s="27">
        <v>100.34</v>
      </c>
      <c r="F103" s="28">
        <v>0</v>
      </c>
      <c r="G103" s="27">
        <v>301.02</v>
      </c>
      <c r="H103" s="27">
        <v>60.2</v>
      </c>
      <c r="I103" s="27">
        <v>361.22</v>
      </c>
      <c r="J103" s="29" cm="1">
        <f t="array" ref="J103">INDEX(Commandes!$B$2:$B$421,MATCH(B103,Commandes!$A$2:$A$421,0))</f>
        <v>45828</v>
      </c>
    </row>
    <row r="104" spans="1:10">
      <c r="A104" t="s">
        <v>1072</v>
      </c>
      <c r="B104" t="s">
        <v>584</v>
      </c>
      <c r="C104" t="s">
        <v>396</v>
      </c>
      <c r="D104">
        <v>3</v>
      </c>
      <c r="E104" s="27">
        <v>225.64</v>
      </c>
      <c r="F104" s="28">
        <v>0.15</v>
      </c>
      <c r="G104" s="27">
        <v>575.38</v>
      </c>
      <c r="H104" s="27">
        <v>115.08</v>
      </c>
      <c r="I104" s="27">
        <v>690.46</v>
      </c>
      <c r="J104" s="29" cm="1">
        <f t="array" ref="J104">INDEX(Commandes!$B$2:$B$421,MATCH(B104,Commandes!$A$2:$A$421,0))</f>
        <v>45538</v>
      </c>
    </row>
    <row r="105" spans="1:10">
      <c r="A105" t="s">
        <v>1073</v>
      </c>
      <c r="B105" t="s">
        <v>584</v>
      </c>
      <c r="C105" t="s">
        <v>433</v>
      </c>
      <c r="D105">
        <v>10</v>
      </c>
      <c r="E105" s="27">
        <v>58.14</v>
      </c>
      <c r="F105" s="28">
        <v>0.05</v>
      </c>
      <c r="G105" s="27">
        <v>552.33</v>
      </c>
      <c r="H105" s="27">
        <v>110.47</v>
      </c>
      <c r="I105" s="27">
        <v>662.8</v>
      </c>
      <c r="J105" s="29" cm="1">
        <f t="array" ref="J105">INDEX(Commandes!$B$2:$B$421,MATCH(B105,Commandes!$A$2:$A$421,0))</f>
        <v>45538</v>
      </c>
    </row>
    <row r="106" spans="1:10">
      <c r="A106" t="s">
        <v>1074</v>
      </c>
      <c r="B106" t="s">
        <v>584</v>
      </c>
      <c r="C106" t="s">
        <v>456</v>
      </c>
      <c r="D106">
        <v>1</v>
      </c>
      <c r="E106" s="27">
        <v>62.13</v>
      </c>
      <c r="F106" s="28">
        <v>0</v>
      </c>
      <c r="G106" s="27">
        <v>62.13</v>
      </c>
      <c r="H106" s="27">
        <v>12.43</v>
      </c>
      <c r="I106" s="27">
        <v>74.56</v>
      </c>
      <c r="J106" s="29" cm="1">
        <f t="array" ref="J106">INDEX(Commandes!$B$2:$B$421,MATCH(B106,Commandes!$A$2:$A$421,0))</f>
        <v>45538</v>
      </c>
    </row>
    <row r="107" spans="1:10">
      <c r="A107" t="s">
        <v>1075</v>
      </c>
      <c r="B107" t="s">
        <v>585</v>
      </c>
      <c r="C107" t="s">
        <v>414</v>
      </c>
      <c r="D107">
        <v>5</v>
      </c>
      <c r="E107" s="27">
        <v>63.96</v>
      </c>
      <c r="F107" s="28">
        <v>0.1</v>
      </c>
      <c r="G107" s="27">
        <v>287.82</v>
      </c>
      <c r="H107" s="27">
        <v>57.56</v>
      </c>
      <c r="I107" s="27">
        <v>345.38</v>
      </c>
      <c r="J107" s="29" cm="1">
        <f t="array" ref="J107">INDEX(Commandes!$B$2:$B$421,MATCH(B107,Commandes!$A$2:$A$421,0))</f>
        <v>45356</v>
      </c>
    </row>
    <row r="108" spans="1:10">
      <c r="A108" t="s">
        <v>1076</v>
      </c>
      <c r="B108" t="s">
        <v>585</v>
      </c>
      <c r="C108" t="s">
        <v>425</v>
      </c>
      <c r="D108">
        <v>10</v>
      </c>
      <c r="E108" s="27">
        <v>36.08</v>
      </c>
      <c r="F108" s="28">
        <v>0.1</v>
      </c>
      <c r="G108" s="27">
        <v>324.72</v>
      </c>
      <c r="H108" s="27">
        <v>64.94</v>
      </c>
      <c r="I108" s="27">
        <v>389.66</v>
      </c>
      <c r="J108" s="29" cm="1">
        <f t="array" ref="J108">INDEX(Commandes!$B$2:$B$421,MATCH(B108,Commandes!$A$2:$A$421,0))</f>
        <v>45356</v>
      </c>
    </row>
    <row r="109" spans="1:10">
      <c r="A109" t="s">
        <v>1077</v>
      </c>
      <c r="B109" t="s">
        <v>585</v>
      </c>
      <c r="C109" t="s">
        <v>435</v>
      </c>
      <c r="D109">
        <v>1</v>
      </c>
      <c r="E109" s="27">
        <v>262.34</v>
      </c>
      <c r="F109" s="28">
        <v>0.15</v>
      </c>
      <c r="G109" s="27">
        <v>222.99</v>
      </c>
      <c r="H109" s="27">
        <v>44.6</v>
      </c>
      <c r="I109" s="27">
        <v>267.59</v>
      </c>
      <c r="J109" s="29" cm="1">
        <f t="array" ref="J109">INDEX(Commandes!$B$2:$B$421,MATCH(B109,Commandes!$A$2:$A$421,0))</f>
        <v>45356</v>
      </c>
    </row>
    <row r="110" spans="1:10">
      <c r="A110" t="s">
        <v>1078</v>
      </c>
      <c r="B110" t="s">
        <v>585</v>
      </c>
      <c r="C110" t="s">
        <v>398</v>
      </c>
      <c r="D110">
        <v>1</v>
      </c>
      <c r="E110" s="27">
        <v>383.91</v>
      </c>
      <c r="F110" s="28">
        <v>0</v>
      </c>
      <c r="G110" s="27">
        <v>383.91</v>
      </c>
      <c r="H110" s="27">
        <v>76.78</v>
      </c>
      <c r="I110" s="27">
        <v>460.69</v>
      </c>
      <c r="J110" s="29" cm="1">
        <f t="array" ref="J110">INDEX(Commandes!$B$2:$B$421,MATCH(B110,Commandes!$A$2:$A$421,0))</f>
        <v>45356</v>
      </c>
    </row>
    <row r="111" spans="1:10">
      <c r="A111" t="s">
        <v>1079</v>
      </c>
      <c r="B111" t="s">
        <v>586</v>
      </c>
      <c r="C111" t="s">
        <v>423</v>
      </c>
      <c r="D111">
        <v>1</v>
      </c>
      <c r="E111" s="27">
        <v>46.02</v>
      </c>
      <c r="F111" s="28">
        <v>0</v>
      </c>
      <c r="G111" s="27">
        <v>46.02</v>
      </c>
      <c r="H111" s="27">
        <v>9.2</v>
      </c>
      <c r="I111" s="27">
        <v>55.22</v>
      </c>
      <c r="J111" s="29" cm="1">
        <f t="array" ref="J111">INDEX(Commandes!$B$2:$B$421,MATCH(B111,Commandes!$A$2:$A$421,0))</f>
        <v>45963</v>
      </c>
    </row>
    <row r="112" spans="1:10">
      <c r="A112" t="s">
        <v>1080</v>
      </c>
      <c r="B112" t="s">
        <v>586</v>
      </c>
      <c r="C112" t="s">
        <v>438</v>
      </c>
      <c r="D112">
        <v>2</v>
      </c>
      <c r="E112" s="27">
        <v>295.97</v>
      </c>
      <c r="F112" s="28">
        <v>0</v>
      </c>
      <c r="G112" s="27">
        <v>591.94</v>
      </c>
      <c r="H112" s="27">
        <v>118.39</v>
      </c>
      <c r="I112" s="27">
        <v>710.33</v>
      </c>
      <c r="J112" s="29" cm="1">
        <f t="array" ref="J112">INDEX(Commandes!$B$2:$B$421,MATCH(B112,Commandes!$A$2:$A$421,0))</f>
        <v>45963</v>
      </c>
    </row>
    <row r="113" spans="1:10">
      <c r="A113" t="s">
        <v>1081</v>
      </c>
      <c r="B113" t="s">
        <v>586</v>
      </c>
      <c r="C113" t="s">
        <v>442</v>
      </c>
      <c r="D113">
        <v>1</v>
      </c>
      <c r="E113" s="27">
        <v>374.59</v>
      </c>
      <c r="F113" s="28">
        <v>0</v>
      </c>
      <c r="G113" s="27">
        <v>374.59</v>
      </c>
      <c r="H113" s="27">
        <v>74.92</v>
      </c>
      <c r="I113" s="27">
        <v>449.51</v>
      </c>
      <c r="J113" s="29" cm="1">
        <f t="array" ref="J113">INDEX(Commandes!$B$2:$B$421,MATCH(B113,Commandes!$A$2:$A$421,0))</f>
        <v>45963</v>
      </c>
    </row>
    <row r="114" spans="1:10">
      <c r="A114" t="s">
        <v>1082</v>
      </c>
      <c r="B114" t="s">
        <v>587</v>
      </c>
      <c r="C114" t="s">
        <v>461</v>
      </c>
      <c r="D114">
        <v>1</v>
      </c>
      <c r="E114" s="27">
        <v>59.83</v>
      </c>
      <c r="F114" s="28">
        <v>0.05</v>
      </c>
      <c r="G114" s="27">
        <v>56.84</v>
      </c>
      <c r="H114" s="27">
        <v>11.37</v>
      </c>
      <c r="I114" s="27">
        <v>68.21</v>
      </c>
      <c r="J114" s="29" cm="1">
        <f t="array" ref="J114">INDEX(Commandes!$B$2:$B$421,MATCH(B114,Commandes!$A$2:$A$421,0))</f>
        <v>45726</v>
      </c>
    </row>
    <row r="115" spans="1:10">
      <c r="A115" t="s">
        <v>1083</v>
      </c>
      <c r="B115" t="s">
        <v>588</v>
      </c>
      <c r="C115" t="s">
        <v>419</v>
      </c>
      <c r="D115">
        <v>2</v>
      </c>
      <c r="E115" s="27">
        <v>100.34</v>
      </c>
      <c r="F115" s="28">
        <v>0.05</v>
      </c>
      <c r="G115" s="27">
        <v>190.65</v>
      </c>
      <c r="H115" s="27">
        <v>38.13</v>
      </c>
      <c r="I115" s="27">
        <v>228.78</v>
      </c>
      <c r="J115" s="29" cm="1">
        <f t="array" ref="J115">INDEX(Commandes!$B$2:$B$421,MATCH(B115,Commandes!$A$2:$A$421,0))</f>
        <v>45909</v>
      </c>
    </row>
    <row r="116" spans="1:10">
      <c r="A116" t="s">
        <v>1084</v>
      </c>
      <c r="B116" t="s">
        <v>589</v>
      </c>
      <c r="C116" t="s">
        <v>471</v>
      </c>
      <c r="D116">
        <v>2</v>
      </c>
      <c r="E116" s="27">
        <v>35.83</v>
      </c>
      <c r="F116" s="28">
        <v>0</v>
      </c>
      <c r="G116" s="27">
        <v>71.66</v>
      </c>
      <c r="H116" s="27">
        <v>14.33</v>
      </c>
      <c r="I116" s="27">
        <v>85.99</v>
      </c>
      <c r="J116" s="29" cm="1">
        <f t="array" ref="J116">INDEX(Commandes!$B$2:$B$421,MATCH(B116,Commandes!$A$2:$A$421,0))</f>
        <v>45573</v>
      </c>
    </row>
    <row r="117" spans="1:10">
      <c r="A117" t="s">
        <v>1085</v>
      </c>
      <c r="B117" t="s">
        <v>589</v>
      </c>
      <c r="C117" t="s">
        <v>391</v>
      </c>
      <c r="D117">
        <v>3</v>
      </c>
      <c r="E117" s="27">
        <v>138.13</v>
      </c>
      <c r="F117" s="28">
        <v>0.15</v>
      </c>
      <c r="G117" s="27">
        <v>352.23</v>
      </c>
      <c r="H117" s="27">
        <v>70.45</v>
      </c>
      <c r="I117" s="27">
        <v>422.68</v>
      </c>
      <c r="J117" s="29" cm="1">
        <f t="array" ref="J117">INDEX(Commandes!$B$2:$B$421,MATCH(B117,Commandes!$A$2:$A$421,0))</f>
        <v>45573</v>
      </c>
    </row>
    <row r="118" spans="1:10">
      <c r="A118" t="s">
        <v>1086</v>
      </c>
      <c r="B118" t="s">
        <v>590</v>
      </c>
      <c r="C118" t="s">
        <v>448</v>
      </c>
      <c r="D118">
        <v>1</v>
      </c>
      <c r="E118" s="27">
        <v>543.43</v>
      </c>
      <c r="F118" s="28">
        <v>0</v>
      </c>
      <c r="G118" s="27">
        <v>543.43</v>
      </c>
      <c r="H118" s="27">
        <v>108.69</v>
      </c>
      <c r="I118" s="27">
        <v>652.12</v>
      </c>
      <c r="J118" s="29" cm="1">
        <f t="array" ref="J118">INDEX(Commandes!$B$2:$B$421,MATCH(B118,Commandes!$A$2:$A$421,0))</f>
        <v>45740</v>
      </c>
    </row>
    <row r="119" spans="1:10">
      <c r="A119" t="s">
        <v>1087</v>
      </c>
      <c r="B119" t="s">
        <v>590</v>
      </c>
      <c r="C119" t="s">
        <v>463</v>
      </c>
      <c r="D119">
        <v>1</v>
      </c>
      <c r="E119" s="27">
        <v>73.02</v>
      </c>
      <c r="F119" s="28">
        <v>0</v>
      </c>
      <c r="G119" s="27">
        <v>73.02</v>
      </c>
      <c r="H119" s="27">
        <v>14.6</v>
      </c>
      <c r="I119" s="27">
        <v>87.62</v>
      </c>
      <c r="J119" s="29" cm="1">
        <f t="array" ref="J119">INDEX(Commandes!$B$2:$B$421,MATCH(B119,Commandes!$A$2:$A$421,0))</f>
        <v>45740</v>
      </c>
    </row>
    <row r="120" spans="1:10">
      <c r="A120" t="s">
        <v>1088</v>
      </c>
      <c r="B120" t="s">
        <v>591</v>
      </c>
      <c r="C120" t="s">
        <v>404</v>
      </c>
      <c r="D120">
        <v>8</v>
      </c>
      <c r="E120" s="27">
        <v>30.09</v>
      </c>
      <c r="F120" s="28">
        <v>0</v>
      </c>
      <c r="G120" s="27">
        <v>240.72</v>
      </c>
      <c r="H120" s="27">
        <v>48.14</v>
      </c>
      <c r="I120" s="27">
        <v>288.86</v>
      </c>
      <c r="J120" s="29" cm="1">
        <f t="array" ref="J120">INDEX(Commandes!$B$2:$B$421,MATCH(B120,Commandes!$A$2:$A$421,0))</f>
        <v>45672</v>
      </c>
    </row>
    <row r="121" spans="1:10">
      <c r="A121" t="s">
        <v>1089</v>
      </c>
      <c r="B121" t="s">
        <v>591</v>
      </c>
      <c r="C121" t="s">
        <v>471</v>
      </c>
      <c r="D121">
        <v>1</v>
      </c>
      <c r="E121" s="27">
        <v>35.83</v>
      </c>
      <c r="F121" s="28">
        <v>0.1</v>
      </c>
      <c r="G121" s="27">
        <v>32.25</v>
      </c>
      <c r="H121" s="27">
        <v>6.45</v>
      </c>
      <c r="I121" s="27">
        <v>38.7</v>
      </c>
      <c r="J121" s="29" cm="1">
        <f t="array" ref="J121">INDEX(Commandes!$B$2:$B$421,MATCH(B121,Commandes!$A$2:$A$421,0))</f>
        <v>45672</v>
      </c>
    </row>
    <row r="122" spans="1:10">
      <c r="A122" t="s">
        <v>1090</v>
      </c>
      <c r="B122" t="s">
        <v>592</v>
      </c>
      <c r="C122" t="s">
        <v>454</v>
      </c>
      <c r="D122">
        <v>1</v>
      </c>
      <c r="E122" s="27">
        <v>375.86</v>
      </c>
      <c r="F122" s="28">
        <v>0.05</v>
      </c>
      <c r="G122" s="27">
        <v>357.07</v>
      </c>
      <c r="H122" s="27">
        <v>71.41</v>
      </c>
      <c r="I122" s="27">
        <v>428.48</v>
      </c>
      <c r="J122" s="29" cm="1">
        <f t="array" ref="J122">INDEX(Commandes!$B$2:$B$421,MATCH(B122,Commandes!$A$2:$A$421,0))</f>
        <v>45688</v>
      </c>
    </row>
    <row r="123" spans="1:10">
      <c r="A123" t="s">
        <v>1091</v>
      </c>
      <c r="B123" t="s">
        <v>593</v>
      </c>
      <c r="C123" t="s">
        <v>414</v>
      </c>
      <c r="D123">
        <v>2</v>
      </c>
      <c r="E123" s="27">
        <v>63.96</v>
      </c>
      <c r="F123" s="28">
        <v>0.15</v>
      </c>
      <c r="G123" s="27">
        <v>108.73</v>
      </c>
      <c r="H123" s="27">
        <v>21.75</v>
      </c>
      <c r="I123" s="27">
        <v>130.48</v>
      </c>
      <c r="J123" s="29" cm="1">
        <f t="array" ref="J123">INDEX(Commandes!$B$2:$B$421,MATCH(B123,Commandes!$A$2:$A$421,0))</f>
        <v>45496</v>
      </c>
    </row>
    <row r="124" spans="1:10">
      <c r="A124" t="s">
        <v>1092</v>
      </c>
      <c r="B124" t="s">
        <v>593</v>
      </c>
      <c r="C124" t="s">
        <v>377</v>
      </c>
      <c r="D124">
        <v>2</v>
      </c>
      <c r="E124" s="27">
        <v>84.94</v>
      </c>
      <c r="F124" s="28">
        <v>0</v>
      </c>
      <c r="G124" s="27">
        <v>169.88</v>
      </c>
      <c r="H124" s="27">
        <v>33.98</v>
      </c>
      <c r="I124" s="27">
        <v>203.86</v>
      </c>
      <c r="J124" s="29" cm="1">
        <f t="array" ref="J124">INDEX(Commandes!$B$2:$B$421,MATCH(B124,Commandes!$A$2:$A$421,0))</f>
        <v>45496</v>
      </c>
    </row>
    <row r="125" spans="1:10">
      <c r="A125" t="s">
        <v>1093</v>
      </c>
      <c r="B125" t="s">
        <v>593</v>
      </c>
      <c r="C125" t="s">
        <v>412</v>
      </c>
      <c r="D125">
        <v>4</v>
      </c>
      <c r="E125" s="27">
        <v>114.1</v>
      </c>
      <c r="F125" s="28">
        <v>0.15</v>
      </c>
      <c r="G125" s="27">
        <v>387.94</v>
      </c>
      <c r="H125" s="27">
        <v>77.59</v>
      </c>
      <c r="I125" s="27">
        <v>465.53</v>
      </c>
      <c r="J125" s="29" cm="1">
        <f t="array" ref="J125">INDEX(Commandes!$B$2:$B$421,MATCH(B125,Commandes!$A$2:$A$421,0))</f>
        <v>45496</v>
      </c>
    </row>
    <row r="126" spans="1:10">
      <c r="A126" t="s">
        <v>1094</v>
      </c>
      <c r="B126" t="s">
        <v>594</v>
      </c>
      <c r="C126" t="s">
        <v>404</v>
      </c>
      <c r="D126">
        <v>3</v>
      </c>
      <c r="E126" s="27">
        <v>30.09</v>
      </c>
      <c r="F126" s="28">
        <v>0</v>
      </c>
      <c r="G126" s="27">
        <v>90.27</v>
      </c>
      <c r="H126" s="27">
        <v>18.05</v>
      </c>
      <c r="I126" s="27">
        <v>108.32</v>
      </c>
      <c r="J126" s="29" cm="1">
        <f t="array" ref="J126">INDEX(Commandes!$B$2:$B$421,MATCH(B126,Commandes!$A$2:$A$421,0))</f>
        <v>46018</v>
      </c>
    </row>
    <row r="127" spans="1:10">
      <c r="A127" t="s">
        <v>1095</v>
      </c>
      <c r="B127" t="s">
        <v>594</v>
      </c>
      <c r="C127" t="s">
        <v>421</v>
      </c>
      <c r="D127">
        <v>2</v>
      </c>
      <c r="E127" s="27">
        <v>78.78</v>
      </c>
      <c r="F127" s="28">
        <v>0</v>
      </c>
      <c r="G127" s="27">
        <v>157.56</v>
      </c>
      <c r="H127" s="27">
        <v>31.51</v>
      </c>
      <c r="I127" s="27">
        <v>189.07</v>
      </c>
      <c r="J127" s="29" cm="1">
        <f t="array" ref="J127">INDEX(Commandes!$B$2:$B$421,MATCH(B127,Commandes!$A$2:$A$421,0))</f>
        <v>46018</v>
      </c>
    </row>
    <row r="128" spans="1:10">
      <c r="A128" t="s">
        <v>1096</v>
      </c>
      <c r="B128" t="s">
        <v>594</v>
      </c>
      <c r="C128" t="s">
        <v>433</v>
      </c>
      <c r="D128">
        <v>3</v>
      </c>
      <c r="E128" s="27">
        <v>58.14</v>
      </c>
      <c r="F128" s="28">
        <v>0.1</v>
      </c>
      <c r="G128" s="27">
        <v>156.98</v>
      </c>
      <c r="H128" s="27">
        <v>31.4</v>
      </c>
      <c r="I128" s="27">
        <v>188.38</v>
      </c>
      <c r="J128" s="29" cm="1">
        <f t="array" ref="J128">INDEX(Commandes!$B$2:$B$421,MATCH(B128,Commandes!$A$2:$A$421,0))</f>
        <v>46018</v>
      </c>
    </row>
    <row r="129" spans="1:10">
      <c r="A129" t="s">
        <v>1097</v>
      </c>
      <c r="B129" t="s">
        <v>595</v>
      </c>
      <c r="C129" t="s">
        <v>448</v>
      </c>
      <c r="D129">
        <v>1</v>
      </c>
      <c r="E129" s="27">
        <v>543.43</v>
      </c>
      <c r="F129" s="28">
        <v>0</v>
      </c>
      <c r="G129" s="27">
        <v>543.43</v>
      </c>
      <c r="H129" s="27">
        <v>108.69</v>
      </c>
      <c r="I129" s="27">
        <v>652.12</v>
      </c>
      <c r="J129" s="29" cm="1">
        <f t="array" ref="J129">INDEX(Commandes!$B$2:$B$421,MATCH(B129,Commandes!$A$2:$A$421,0))</f>
        <v>45424</v>
      </c>
    </row>
    <row r="130" spans="1:10">
      <c r="A130" t="s">
        <v>1098</v>
      </c>
      <c r="B130" t="s">
        <v>595</v>
      </c>
      <c r="C130" t="s">
        <v>459</v>
      </c>
      <c r="D130">
        <v>1</v>
      </c>
      <c r="E130" s="27">
        <v>70.8</v>
      </c>
      <c r="F130" s="28">
        <v>0.05</v>
      </c>
      <c r="G130" s="27">
        <v>67.26</v>
      </c>
      <c r="H130" s="27">
        <v>13.45</v>
      </c>
      <c r="I130" s="27">
        <v>80.71</v>
      </c>
      <c r="J130" s="29" cm="1">
        <f t="array" ref="J130">INDEX(Commandes!$B$2:$B$421,MATCH(B130,Commandes!$A$2:$A$421,0))</f>
        <v>45424</v>
      </c>
    </row>
    <row r="131" spans="1:10">
      <c r="A131" t="s">
        <v>1099</v>
      </c>
      <c r="B131" t="s">
        <v>595</v>
      </c>
      <c r="C131" t="s">
        <v>463</v>
      </c>
      <c r="D131">
        <v>2</v>
      </c>
      <c r="E131" s="27">
        <v>73.02</v>
      </c>
      <c r="F131" s="28">
        <v>0</v>
      </c>
      <c r="G131" s="27">
        <v>146.04</v>
      </c>
      <c r="H131" s="27">
        <v>29.21</v>
      </c>
      <c r="I131" s="27">
        <v>175.25</v>
      </c>
      <c r="J131" s="29" cm="1">
        <f t="array" ref="J131">INDEX(Commandes!$B$2:$B$421,MATCH(B131,Commandes!$A$2:$A$421,0))</f>
        <v>45424</v>
      </c>
    </row>
    <row r="132" spans="1:10">
      <c r="A132" t="s">
        <v>1100</v>
      </c>
      <c r="B132" t="s">
        <v>596</v>
      </c>
      <c r="C132" t="s">
        <v>374</v>
      </c>
      <c r="D132">
        <v>3</v>
      </c>
      <c r="E132" s="27">
        <v>251.56</v>
      </c>
      <c r="F132" s="28">
        <v>0.1</v>
      </c>
      <c r="G132" s="27">
        <v>679.21</v>
      </c>
      <c r="H132" s="27">
        <v>135.84</v>
      </c>
      <c r="I132" s="27">
        <v>815.05</v>
      </c>
      <c r="J132" s="29" cm="1">
        <f t="array" ref="J132">INDEX(Commandes!$B$2:$B$421,MATCH(B132,Commandes!$A$2:$A$421,0))</f>
        <v>45856</v>
      </c>
    </row>
    <row r="133" spans="1:10">
      <c r="A133" t="s">
        <v>1101</v>
      </c>
      <c r="B133" t="s">
        <v>596</v>
      </c>
      <c r="C133" t="s">
        <v>391</v>
      </c>
      <c r="D133">
        <v>1</v>
      </c>
      <c r="E133" s="27">
        <v>138.13</v>
      </c>
      <c r="F133" s="28">
        <v>0</v>
      </c>
      <c r="G133" s="27">
        <v>138.13</v>
      </c>
      <c r="H133" s="27">
        <v>27.63</v>
      </c>
      <c r="I133" s="27">
        <v>165.76</v>
      </c>
      <c r="J133" s="29" cm="1">
        <f t="array" ref="J133">INDEX(Commandes!$B$2:$B$421,MATCH(B133,Commandes!$A$2:$A$421,0))</f>
        <v>45856</v>
      </c>
    </row>
    <row r="134" spans="1:10">
      <c r="A134" t="s">
        <v>1102</v>
      </c>
      <c r="B134" t="s">
        <v>597</v>
      </c>
      <c r="C134" t="s">
        <v>456</v>
      </c>
      <c r="D134">
        <v>5</v>
      </c>
      <c r="E134" s="27">
        <v>62.13</v>
      </c>
      <c r="F134" s="28">
        <v>0</v>
      </c>
      <c r="G134" s="27">
        <v>310.65</v>
      </c>
      <c r="H134" s="27">
        <v>62.13</v>
      </c>
      <c r="I134" s="27">
        <v>372.78</v>
      </c>
      <c r="J134" s="29" cm="1">
        <f t="array" ref="J134">INDEX(Commandes!$B$2:$B$421,MATCH(B134,Commandes!$A$2:$A$421,0))</f>
        <v>45622</v>
      </c>
    </row>
    <row r="135" spans="1:10">
      <c r="A135" t="s">
        <v>1103</v>
      </c>
      <c r="B135" t="s">
        <v>598</v>
      </c>
      <c r="C135" t="s">
        <v>454</v>
      </c>
      <c r="D135">
        <v>3</v>
      </c>
      <c r="E135" s="27">
        <v>375.86</v>
      </c>
      <c r="F135" s="28">
        <v>0.1</v>
      </c>
      <c r="G135" s="27">
        <v>1014.82</v>
      </c>
      <c r="H135" s="27">
        <v>202.96</v>
      </c>
      <c r="I135" s="27">
        <v>1217.78</v>
      </c>
      <c r="J135" s="29" cm="1">
        <f t="array" ref="J135">INDEX(Commandes!$B$2:$B$421,MATCH(B135,Commandes!$A$2:$A$421,0))</f>
        <v>45420</v>
      </c>
    </row>
    <row r="136" spans="1:10">
      <c r="A136" t="s">
        <v>1104</v>
      </c>
      <c r="B136" t="s">
        <v>599</v>
      </c>
      <c r="C136" t="s">
        <v>459</v>
      </c>
      <c r="D136">
        <v>3</v>
      </c>
      <c r="E136" s="27">
        <v>70.8</v>
      </c>
      <c r="F136" s="28">
        <v>0</v>
      </c>
      <c r="G136" s="27">
        <v>212.4</v>
      </c>
      <c r="H136" s="27">
        <v>42.48</v>
      </c>
      <c r="I136" s="27">
        <v>254.88</v>
      </c>
      <c r="J136" s="29" cm="1">
        <f t="array" ref="J136">INDEX(Commandes!$B$2:$B$421,MATCH(B136,Commandes!$A$2:$A$421,0))</f>
        <v>45637</v>
      </c>
    </row>
    <row r="137" spans="1:10">
      <c r="A137" t="s">
        <v>1105</v>
      </c>
      <c r="B137" t="s">
        <v>600</v>
      </c>
      <c r="C137" t="s">
        <v>444</v>
      </c>
      <c r="D137">
        <v>1</v>
      </c>
      <c r="E137" s="27">
        <v>442.3</v>
      </c>
      <c r="F137" s="28">
        <v>0</v>
      </c>
      <c r="G137" s="27">
        <v>442.3</v>
      </c>
      <c r="H137" s="27">
        <v>88.46</v>
      </c>
      <c r="I137" s="27">
        <v>530.76</v>
      </c>
      <c r="J137" s="29" cm="1">
        <f t="array" ref="J137">INDEX(Commandes!$B$2:$B$421,MATCH(B137,Commandes!$A$2:$A$421,0))</f>
        <v>45958</v>
      </c>
    </row>
    <row r="138" spans="1:10">
      <c r="A138" t="s">
        <v>1106</v>
      </c>
      <c r="B138" t="s">
        <v>600</v>
      </c>
      <c r="C138" t="s">
        <v>435</v>
      </c>
      <c r="D138">
        <v>1</v>
      </c>
      <c r="E138" s="27">
        <v>262.34</v>
      </c>
      <c r="F138" s="28">
        <v>0.15</v>
      </c>
      <c r="G138" s="27">
        <v>222.99</v>
      </c>
      <c r="H138" s="27">
        <v>44.6</v>
      </c>
      <c r="I138" s="27">
        <v>267.59</v>
      </c>
      <c r="J138" s="29" cm="1">
        <f t="array" ref="J138">INDEX(Commandes!$B$2:$B$421,MATCH(B138,Commandes!$A$2:$A$421,0))</f>
        <v>45958</v>
      </c>
    </row>
    <row r="139" spans="1:10">
      <c r="A139" t="s">
        <v>1107</v>
      </c>
      <c r="B139" t="s">
        <v>600</v>
      </c>
      <c r="C139" t="s">
        <v>425</v>
      </c>
      <c r="D139">
        <v>1</v>
      </c>
      <c r="E139" s="27">
        <v>36.08</v>
      </c>
      <c r="F139" s="28">
        <v>0</v>
      </c>
      <c r="G139" s="27">
        <v>36.08</v>
      </c>
      <c r="H139" s="27">
        <v>7.22</v>
      </c>
      <c r="I139" s="27">
        <v>43.3</v>
      </c>
      <c r="J139" s="29" cm="1">
        <f t="array" ref="J139">INDEX(Commandes!$B$2:$B$421,MATCH(B139,Commandes!$A$2:$A$421,0))</f>
        <v>45958</v>
      </c>
    </row>
    <row r="140" spans="1:10">
      <c r="A140" t="s">
        <v>1108</v>
      </c>
      <c r="B140" t="s">
        <v>600</v>
      </c>
      <c r="C140" t="s">
        <v>465</v>
      </c>
      <c r="D140">
        <v>1</v>
      </c>
      <c r="E140" s="27">
        <v>44.16</v>
      </c>
      <c r="F140" s="28">
        <v>0.05</v>
      </c>
      <c r="G140" s="27">
        <v>41.95</v>
      </c>
      <c r="H140" s="27">
        <v>8.39</v>
      </c>
      <c r="I140" s="27">
        <v>50.34</v>
      </c>
      <c r="J140" s="29" cm="1">
        <f t="array" ref="J140">INDEX(Commandes!$B$2:$B$421,MATCH(B140,Commandes!$A$2:$A$421,0))</f>
        <v>45958</v>
      </c>
    </row>
    <row r="141" spans="1:10">
      <c r="A141" t="s">
        <v>1109</v>
      </c>
      <c r="B141" t="s">
        <v>601</v>
      </c>
      <c r="C141" t="s">
        <v>414</v>
      </c>
      <c r="D141">
        <v>3</v>
      </c>
      <c r="E141" s="27">
        <v>63.96</v>
      </c>
      <c r="F141" s="28">
        <v>0</v>
      </c>
      <c r="G141" s="27">
        <v>191.88</v>
      </c>
      <c r="H141" s="27">
        <v>38.38</v>
      </c>
      <c r="I141" s="27">
        <v>230.26</v>
      </c>
      <c r="J141" s="29" cm="1">
        <f t="array" ref="J141">INDEX(Commandes!$B$2:$B$421,MATCH(B141,Commandes!$A$2:$A$421,0))</f>
        <v>45717</v>
      </c>
    </row>
    <row r="142" spans="1:10">
      <c r="A142" t="s">
        <v>1110</v>
      </c>
      <c r="B142" t="s">
        <v>601</v>
      </c>
      <c r="C142" t="s">
        <v>425</v>
      </c>
      <c r="D142">
        <v>1</v>
      </c>
      <c r="E142" s="27">
        <v>36.08</v>
      </c>
      <c r="F142" s="28">
        <v>0</v>
      </c>
      <c r="G142" s="27">
        <v>36.08</v>
      </c>
      <c r="H142" s="27">
        <v>7.22</v>
      </c>
      <c r="I142" s="27">
        <v>43.3</v>
      </c>
      <c r="J142" s="29" cm="1">
        <f t="array" ref="J142">INDEX(Commandes!$B$2:$B$421,MATCH(B142,Commandes!$A$2:$A$421,0))</f>
        <v>45717</v>
      </c>
    </row>
    <row r="143" spans="1:10">
      <c r="A143" t="s">
        <v>1111</v>
      </c>
      <c r="B143" t="s">
        <v>601</v>
      </c>
      <c r="C143" t="s">
        <v>440</v>
      </c>
      <c r="D143">
        <v>2</v>
      </c>
      <c r="E143" s="27">
        <v>391.34</v>
      </c>
      <c r="F143" s="28">
        <v>0</v>
      </c>
      <c r="G143" s="27">
        <v>782.68</v>
      </c>
      <c r="H143" s="27">
        <v>156.54</v>
      </c>
      <c r="I143" s="27">
        <v>939.22</v>
      </c>
      <c r="J143" s="29" cm="1">
        <f t="array" ref="J143">INDEX(Commandes!$B$2:$B$421,MATCH(B143,Commandes!$A$2:$A$421,0))</f>
        <v>45717</v>
      </c>
    </row>
    <row r="144" spans="1:10">
      <c r="A144" t="s">
        <v>1112</v>
      </c>
      <c r="B144" t="s">
        <v>601</v>
      </c>
      <c r="C144" t="s">
        <v>404</v>
      </c>
      <c r="D144">
        <v>2</v>
      </c>
      <c r="E144" s="27">
        <v>30.09</v>
      </c>
      <c r="F144" s="28">
        <v>0</v>
      </c>
      <c r="G144" s="27">
        <v>60.18</v>
      </c>
      <c r="H144" s="27">
        <v>12.04</v>
      </c>
      <c r="I144" s="27">
        <v>72.22</v>
      </c>
      <c r="J144" s="29" cm="1">
        <f t="array" ref="J144">INDEX(Commandes!$B$2:$B$421,MATCH(B144,Commandes!$A$2:$A$421,0))</f>
        <v>45717</v>
      </c>
    </row>
    <row r="145" spans="1:10">
      <c r="A145" t="s">
        <v>1113</v>
      </c>
      <c r="B145" t="s">
        <v>602</v>
      </c>
      <c r="C145" t="s">
        <v>393</v>
      </c>
      <c r="D145">
        <v>3</v>
      </c>
      <c r="E145" s="27">
        <v>196.18</v>
      </c>
      <c r="F145" s="28">
        <v>0.1</v>
      </c>
      <c r="G145" s="27">
        <v>529.69</v>
      </c>
      <c r="H145" s="27">
        <v>105.94</v>
      </c>
      <c r="I145" s="27">
        <v>635.63</v>
      </c>
      <c r="J145" s="29" cm="1">
        <f t="array" ref="J145">INDEX(Commandes!$B$2:$B$421,MATCH(B145,Commandes!$A$2:$A$421,0))</f>
        <v>45752</v>
      </c>
    </row>
    <row r="146" spans="1:10">
      <c r="A146" t="s">
        <v>1114</v>
      </c>
      <c r="B146" t="s">
        <v>603</v>
      </c>
      <c r="C146" t="s">
        <v>438</v>
      </c>
      <c r="D146">
        <v>1</v>
      </c>
      <c r="E146" s="27">
        <v>295.97</v>
      </c>
      <c r="F146" s="28">
        <v>0.05</v>
      </c>
      <c r="G146" s="27">
        <v>281.17</v>
      </c>
      <c r="H146" s="27">
        <v>56.23</v>
      </c>
      <c r="I146" s="27">
        <v>337.4</v>
      </c>
      <c r="J146" s="29" cm="1">
        <f t="array" ref="J146">INDEX(Commandes!$B$2:$B$421,MATCH(B146,Commandes!$A$2:$A$421,0))</f>
        <v>45612</v>
      </c>
    </row>
    <row r="147" spans="1:10">
      <c r="A147" t="s">
        <v>1115</v>
      </c>
      <c r="B147" t="s">
        <v>603</v>
      </c>
      <c r="C147" t="s">
        <v>440</v>
      </c>
      <c r="D147">
        <v>2</v>
      </c>
      <c r="E147" s="27">
        <v>391.34</v>
      </c>
      <c r="F147" s="28">
        <v>0</v>
      </c>
      <c r="G147" s="27">
        <v>782.68</v>
      </c>
      <c r="H147" s="27">
        <v>156.54</v>
      </c>
      <c r="I147" s="27">
        <v>939.22</v>
      </c>
      <c r="J147" s="29" cm="1">
        <f t="array" ref="J147">INDEX(Commandes!$B$2:$B$421,MATCH(B147,Commandes!$A$2:$A$421,0))</f>
        <v>45612</v>
      </c>
    </row>
    <row r="148" spans="1:10">
      <c r="A148" t="s">
        <v>1116</v>
      </c>
      <c r="B148" t="s">
        <v>603</v>
      </c>
      <c r="C148" t="s">
        <v>400</v>
      </c>
      <c r="D148">
        <v>2</v>
      </c>
      <c r="E148" s="27">
        <v>328.03</v>
      </c>
      <c r="F148" s="28">
        <v>0</v>
      </c>
      <c r="G148" s="27">
        <v>656.06</v>
      </c>
      <c r="H148" s="27">
        <v>131.21</v>
      </c>
      <c r="I148" s="27">
        <v>787.27</v>
      </c>
      <c r="J148" s="29" cm="1">
        <f t="array" ref="J148">INDEX(Commandes!$B$2:$B$421,MATCH(B148,Commandes!$A$2:$A$421,0))</f>
        <v>45612</v>
      </c>
    </row>
    <row r="149" spans="1:10">
      <c r="A149" t="s">
        <v>1117</v>
      </c>
      <c r="B149" t="s">
        <v>603</v>
      </c>
      <c r="C149" t="s">
        <v>374</v>
      </c>
      <c r="D149">
        <v>1</v>
      </c>
      <c r="E149" s="27">
        <v>251.56</v>
      </c>
      <c r="F149" s="28">
        <v>0.1</v>
      </c>
      <c r="G149" s="27">
        <v>226.4</v>
      </c>
      <c r="H149" s="27">
        <v>45.28</v>
      </c>
      <c r="I149" s="27">
        <v>271.68</v>
      </c>
      <c r="J149" s="29" cm="1">
        <f t="array" ref="J149">INDEX(Commandes!$B$2:$B$421,MATCH(B149,Commandes!$A$2:$A$421,0))</f>
        <v>45612</v>
      </c>
    </row>
    <row r="150" spans="1:10">
      <c r="A150" t="s">
        <v>1118</v>
      </c>
      <c r="B150" t="s">
        <v>604</v>
      </c>
      <c r="C150" t="s">
        <v>406</v>
      </c>
      <c r="D150">
        <v>3</v>
      </c>
      <c r="E150" s="27">
        <v>18.86</v>
      </c>
      <c r="F150" s="28">
        <v>0.05</v>
      </c>
      <c r="G150" s="27">
        <v>53.75</v>
      </c>
      <c r="H150" s="27">
        <v>10.75</v>
      </c>
      <c r="I150" s="27">
        <v>64.5</v>
      </c>
      <c r="J150" s="29" cm="1">
        <f t="array" ref="J150">INDEX(Commandes!$B$2:$B$421,MATCH(B150,Commandes!$A$2:$A$421,0))</f>
        <v>45961</v>
      </c>
    </row>
    <row r="151" spans="1:10">
      <c r="A151" t="s">
        <v>1119</v>
      </c>
      <c r="B151" t="s">
        <v>605</v>
      </c>
      <c r="C151" t="s">
        <v>377</v>
      </c>
      <c r="D151">
        <v>1</v>
      </c>
      <c r="E151" s="27">
        <v>84.94</v>
      </c>
      <c r="F151" s="28">
        <v>0.05</v>
      </c>
      <c r="G151" s="27">
        <v>80.69</v>
      </c>
      <c r="H151" s="27">
        <v>16.14</v>
      </c>
      <c r="I151" s="27">
        <v>96.83</v>
      </c>
      <c r="J151" s="29" cm="1">
        <f t="array" ref="J151">INDEX(Commandes!$B$2:$B$421,MATCH(B151,Commandes!$A$2:$A$421,0))</f>
        <v>45666</v>
      </c>
    </row>
    <row r="152" spans="1:10">
      <c r="A152" t="s">
        <v>1120</v>
      </c>
      <c r="B152" t="s">
        <v>605</v>
      </c>
      <c r="C152" t="s">
        <v>473</v>
      </c>
      <c r="D152">
        <v>2</v>
      </c>
      <c r="E152" s="27">
        <v>40.73</v>
      </c>
      <c r="F152" s="28">
        <v>0.1</v>
      </c>
      <c r="G152" s="27">
        <v>73.31</v>
      </c>
      <c r="H152" s="27">
        <v>14.66</v>
      </c>
      <c r="I152" s="27">
        <v>87.97</v>
      </c>
      <c r="J152" s="29" cm="1">
        <f t="array" ref="J152">INDEX(Commandes!$B$2:$B$421,MATCH(B152,Commandes!$A$2:$A$421,0))</f>
        <v>45666</v>
      </c>
    </row>
    <row r="153" spans="1:10">
      <c r="A153" t="s">
        <v>1121</v>
      </c>
      <c r="B153" t="s">
        <v>606</v>
      </c>
      <c r="C153" t="s">
        <v>417</v>
      </c>
      <c r="D153">
        <v>2</v>
      </c>
      <c r="E153" s="27">
        <v>59.79</v>
      </c>
      <c r="F153" s="28">
        <v>0</v>
      </c>
      <c r="G153" s="27">
        <v>119.58</v>
      </c>
      <c r="H153" s="27">
        <v>23.92</v>
      </c>
      <c r="I153" s="27">
        <v>143.5</v>
      </c>
      <c r="J153" s="29" cm="1">
        <f t="array" ref="J153">INDEX(Commandes!$B$2:$B$421,MATCH(B153,Commandes!$A$2:$A$421,0))</f>
        <v>45988</v>
      </c>
    </row>
    <row r="154" spans="1:10">
      <c r="A154" t="s">
        <v>1122</v>
      </c>
      <c r="B154" t="s">
        <v>606</v>
      </c>
      <c r="C154" t="s">
        <v>473</v>
      </c>
      <c r="D154">
        <v>1</v>
      </c>
      <c r="E154" s="27">
        <v>40.73</v>
      </c>
      <c r="F154" s="28">
        <v>0.1</v>
      </c>
      <c r="G154" s="27">
        <v>36.66</v>
      </c>
      <c r="H154" s="27">
        <v>7.33</v>
      </c>
      <c r="I154" s="27">
        <v>43.99</v>
      </c>
      <c r="J154" s="29" cm="1">
        <f t="array" ref="J154">INDEX(Commandes!$B$2:$B$421,MATCH(B154,Commandes!$A$2:$A$421,0))</f>
        <v>45988</v>
      </c>
    </row>
    <row r="155" spans="1:10">
      <c r="A155" t="s">
        <v>1123</v>
      </c>
      <c r="B155" t="s">
        <v>606</v>
      </c>
      <c r="C155" t="s">
        <v>440</v>
      </c>
      <c r="D155">
        <v>1</v>
      </c>
      <c r="E155" s="27">
        <v>391.34</v>
      </c>
      <c r="F155" s="28">
        <v>0</v>
      </c>
      <c r="G155" s="27">
        <v>391.34</v>
      </c>
      <c r="H155" s="27">
        <v>78.27</v>
      </c>
      <c r="I155" s="27">
        <v>469.61</v>
      </c>
      <c r="J155" s="29" cm="1">
        <f t="array" ref="J155">INDEX(Commandes!$B$2:$B$421,MATCH(B155,Commandes!$A$2:$A$421,0))</f>
        <v>45988</v>
      </c>
    </row>
    <row r="156" spans="1:10">
      <c r="A156" t="s">
        <v>1124</v>
      </c>
      <c r="B156" t="s">
        <v>607</v>
      </c>
      <c r="C156" t="s">
        <v>440</v>
      </c>
      <c r="D156">
        <v>1</v>
      </c>
      <c r="E156" s="27">
        <v>391.34</v>
      </c>
      <c r="F156" s="28">
        <v>0.1</v>
      </c>
      <c r="G156" s="27">
        <v>352.21</v>
      </c>
      <c r="H156" s="27">
        <v>70.44</v>
      </c>
      <c r="I156" s="27">
        <v>422.65</v>
      </c>
      <c r="J156" s="29" cm="1">
        <f t="array" ref="J156">INDEX(Commandes!$B$2:$B$421,MATCH(B156,Commandes!$A$2:$A$421,0))</f>
        <v>45338</v>
      </c>
    </row>
    <row r="157" spans="1:10">
      <c r="A157" t="s">
        <v>1125</v>
      </c>
      <c r="B157" t="s">
        <v>607</v>
      </c>
      <c r="C157" t="s">
        <v>414</v>
      </c>
      <c r="D157">
        <v>1</v>
      </c>
      <c r="E157" s="27">
        <v>63.96</v>
      </c>
      <c r="F157" s="28">
        <v>0.1</v>
      </c>
      <c r="G157" s="27">
        <v>57.56</v>
      </c>
      <c r="H157" s="27">
        <v>11.51</v>
      </c>
      <c r="I157" s="27">
        <v>69.07</v>
      </c>
      <c r="J157" s="29" cm="1">
        <f t="array" ref="J157">INDEX(Commandes!$B$2:$B$421,MATCH(B157,Commandes!$A$2:$A$421,0))</f>
        <v>45338</v>
      </c>
    </row>
    <row r="158" spans="1:10">
      <c r="A158" t="s">
        <v>1126</v>
      </c>
      <c r="B158" t="s">
        <v>608</v>
      </c>
      <c r="C158" t="s">
        <v>421</v>
      </c>
      <c r="D158">
        <v>1</v>
      </c>
      <c r="E158" s="27">
        <v>78.78</v>
      </c>
      <c r="F158" s="28">
        <v>0</v>
      </c>
      <c r="G158" s="27">
        <v>78.78</v>
      </c>
      <c r="H158" s="27">
        <v>15.76</v>
      </c>
      <c r="I158" s="27">
        <v>94.54</v>
      </c>
      <c r="J158" s="29" cm="1">
        <f t="array" ref="J158">INDEX(Commandes!$B$2:$B$421,MATCH(B158,Commandes!$A$2:$A$421,0))</f>
        <v>45598</v>
      </c>
    </row>
    <row r="159" spans="1:10">
      <c r="A159" t="s">
        <v>1127</v>
      </c>
      <c r="B159" t="s">
        <v>608</v>
      </c>
      <c r="C159" t="s">
        <v>427</v>
      </c>
      <c r="D159">
        <v>2</v>
      </c>
      <c r="E159" s="27">
        <v>25.25</v>
      </c>
      <c r="F159" s="28">
        <v>0.15</v>
      </c>
      <c r="G159" s="27">
        <v>42.92</v>
      </c>
      <c r="H159" s="27">
        <v>8.58</v>
      </c>
      <c r="I159" s="27">
        <v>51.5</v>
      </c>
      <c r="J159" s="29" cm="1">
        <f t="array" ref="J159">INDEX(Commandes!$B$2:$B$421,MATCH(B159,Commandes!$A$2:$A$421,0))</f>
        <v>45598</v>
      </c>
    </row>
    <row r="160" spans="1:10">
      <c r="A160" t="s">
        <v>1128</v>
      </c>
      <c r="B160" t="s">
        <v>608</v>
      </c>
      <c r="C160" t="s">
        <v>465</v>
      </c>
      <c r="D160">
        <v>2</v>
      </c>
      <c r="E160" s="27">
        <v>44.16</v>
      </c>
      <c r="F160" s="28">
        <v>0.1</v>
      </c>
      <c r="G160" s="27">
        <v>79.49</v>
      </c>
      <c r="H160" s="27">
        <v>15.9</v>
      </c>
      <c r="I160" s="27">
        <v>95.39</v>
      </c>
      <c r="J160" s="29" cm="1">
        <f t="array" ref="J160">INDEX(Commandes!$B$2:$B$421,MATCH(B160,Commandes!$A$2:$A$421,0))</f>
        <v>45598</v>
      </c>
    </row>
    <row r="161" spans="1:10">
      <c r="A161" t="s">
        <v>1129</v>
      </c>
      <c r="B161" t="s">
        <v>609</v>
      </c>
      <c r="C161" t="s">
        <v>469</v>
      </c>
      <c r="D161">
        <v>2</v>
      </c>
      <c r="E161" s="27">
        <v>30.71</v>
      </c>
      <c r="F161" s="28">
        <v>0.05</v>
      </c>
      <c r="G161" s="27">
        <v>58.35</v>
      </c>
      <c r="H161" s="27">
        <v>11.67</v>
      </c>
      <c r="I161" s="27">
        <v>70.02</v>
      </c>
      <c r="J161" s="29" cm="1">
        <f t="array" ref="J161">INDEX(Commandes!$B$2:$B$421,MATCH(B161,Commandes!$A$2:$A$421,0))</f>
        <v>45777</v>
      </c>
    </row>
    <row r="162" spans="1:10">
      <c r="A162" t="s">
        <v>1130</v>
      </c>
      <c r="B162" t="s">
        <v>609</v>
      </c>
      <c r="C162" t="s">
        <v>391</v>
      </c>
      <c r="D162">
        <v>3</v>
      </c>
      <c r="E162" s="27">
        <v>138.13</v>
      </c>
      <c r="F162" s="28">
        <v>0</v>
      </c>
      <c r="G162" s="27">
        <v>414.39</v>
      </c>
      <c r="H162" s="27">
        <v>82.88</v>
      </c>
      <c r="I162" s="27">
        <v>497.27</v>
      </c>
      <c r="J162" s="29" cm="1">
        <f t="array" ref="J162">INDEX(Commandes!$B$2:$B$421,MATCH(B162,Commandes!$A$2:$A$421,0))</f>
        <v>45777</v>
      </c>
    </row>
    <row r="163" spans="1:10">
      <c r="A163" t="s">
        <v>1131</v>
      </c>
      <c r="B163" t="s">
        <v>610</v>
      </c>
      <c r="C163" t="s">
        <v>465</v>
      </c>
      <c r="D163">
        <v>1</v>
      </c>
      <c r="E163" s="27">
        <v>44.16</v>
      </c>
      <c r="F163" s="28">
        <v>0.1</v>
      </c>
      <c r="G163" s="27">
        <v>39.74</v>
      </c>
      <c r="H163" s="27">
        <v>7.95</v>
      </c>
      <c r="I163" s="27">
        <v>47.69</v>
      </c>
      <c r="J163" s="29" cm="1">
        <f t="array" ref="J163">INDEX(Commandes!$B$2:$B$421,MATCH(B163,Commandes!$A$2:$A$421,0))</f>
        <v>45324</v>
      </c>
    </row>
    <row r="164" spans="1:10">
      <c r="A164" t="s">
        <v>1132</v>
      </c>
      <c r="B164" t="s">
        <v>611</v>
      </c>
      <c r="C164" t="s">
        <v>435</v>
      </c>
      <c r="D164">
        <v>2</v>
      </c>
      <c r="E164" s="27">
        <v>262.34</v>
      </c>
      <c r="F164" s="28">
        <v>0</v>
      </c>
      <c r="G164" s="27">
        <v>524.68</v>
      </c>
      <c r="H164" s="27">
        <v>104.94</v>
      </c>
      <c r="I164" s="27">
        <v>629.62</v>
      </c>
      <c r="J164" s="29" cm="1">
        <f t="array" ref="J164">INDEX(Commandes!$B$2:$B$421,MATCH(B164,Commandes!$A$2:$A$421,0))</f>
        <v>45918</v>
      </c>
    </row>
    <row r="165" spans="1:10">
      <c r="A165" t="s">
        <v>1133</v>
      </c>
      <c r="B165" t="s">
        <v>611</v>
      </c>
      <c r="C165" t="s">
        <v>396</v>
      </c>
      <c r="D165">
        <v>2</v>
      </c>
      <c r="E165" s="27">
        <v>225.64</v>
      </c>
      <c r="F165" s="28">
        <v>0.1</v>
      </c>
      <c r="G165" s="27">
        <v>406.15</v>
      </c>
      <c r="H165" s="27">
        <v>81.23</v>
      </c>
      <c r="I165" s="27">
        <v>487.38</v>
      </c>
      <c r="J165" s="29" cm="1">
        <f t="array" ref="J165">INDEX(Commandes!$B$2:$B$421,MATCH(B165,Commandes!$A$2:$A$421,0))</f>
        <v>45918</v>
      </c>
    </row>
    <row r="166" spans="1:10">
      <c r="A166" t="s">
        <v>1134</v>
      </c>
      <c r="B166" t="s">
        <v>611</v>
      </c>
      <c r="C166" t="s">
        <v>417</v>
      </c>
      <c r="D166">
        <v>2</v>
      </c>
      <c r="E166" s="27">
        <v>59.79</v>
      </c>
      <c r="F166" s="28">
        <v>0.15</v>
      </c>
      <c r="G166" s="27">
        <v>101.64</v>
      </c>
      <c r="H166" s="27">
        <v>20.33</v>
      </c>
      <c r="I166" s="27">
        <v>121.97</v>
      </c>
      <c r="J166" s="29" cm="1">
        <f t="array" ref="J166">INDEX(Commandes!$B$2:$B$421,MATCH(B166,Commandes!$A$2:$A$421,0))</f>
        <v>45918</v>
      </c>
    </row>
    <row r="167" spans="1:10">
      <c r="A167" t="s">
        <v>1135</v>
      </c>
      <c r="B167" t="s">
        <v>611</v>
      </c>
      <c r="C167" t="s">
        <v>475</v>
      </c>
      <c r="D167">
        <v>4</v>
      </c>
      <c r="E167" s="27">
        <v>42</v>
      </c>
      <c r="F167" s="28">
        <v>0.15</v>
      </c>
      <c r="G167" s="27">
        <v>142.8</v>
      </c>
      <c r="H167" s="27">
        <v>28.56</v>
      </c>
      <c r="I167" s="27">
        <v>171.36</v>
      </c>
      <c r="J167" s="29" cm="1">
        <f t="array" ref="J167">INDEX(Commandes!$B$2:$B$421,MATCH(B167,Commandes!$A$2:$A$421,0))</f>
        <v>45918</v>
      </c>
    </row>
    <row r="168" spans="1:10">
      <c r="A168" t="s">
        <v>1136</v>
      </c>
      <c r="B168" t="s">
        <v>611</v>
      </c>
      <c r="C168" t="s">
        <v>459</v>
      </c>
      <c r="D168">
        <v>3</v>
      </c>
      <c r="E168" s="27">
        <v>70.8</v>
      </c>
      <c r="F168" s="28">
        <v>0</v>
      </c>
      <c r="G168" s="27">
        <v>212.4</v>
      </c>
      <c r="H168" s="27">
        <v>42.48</v>
      </c>
      <c r="I168" s="27">
        <v>254.88</v>
      </c>
      <c r="J168" s="29" cm="1">
        <f t="array" ref="J168">INDEX(Commandes!$B$2:$B$421,MATCH(B168,Commandes!$A$2:$A$421,0))</f>
        <v>45918</v>
      </c>
    </row>
    <row r="169" spans="1:10">
      <c r="A169" t="s">
        <v>1137</v>
      </c>
      <c r="B169" t="s">
        <v>612</v>
      </c>
      <c r="C169" t="s">
        <v>412</v>
      </c>
      <c r="D169">
        <v>3</v>
      </c>
      <c r="E169" s="27">
        <v>114.1</v>
      </c>
      <c r="F169" s="28">
        <v>0.15</v>
      </c>
      <c r="G169" s="27">
        <v>290.95</v>
      </c>
      <c r="H169" s="27">
        <v>58.19</v>
      </c>
      <c r="I169" s="27">
        <v>349.14</v>
      </c>
      <c r="J169" s="29" cm="1">
        <f t="array" ref="J169">INDEX(Commandes!$B$2:$B$421,MATCH(B169,Commandes!$A$2:$A$421,0))</f>
        <v>45916</v>
      </c>
    </row>
    <row r="170" spans="1:10">
      <c r="A170" t="s">
        <v>1138</v>
      </c>
      <c r="B170" t="s">
        <v>612</v>
      </c>
      <c r="C170" t="s">
        <v>400</v>
      </c>
      <c r="D170">
        <v>2</v>
      </c>
      <c r="E170" s="27">
        <v>328.03</v>
      </c>
      <c r="F170" s="28">
        <v>0.05</v>
      </c>
      <c r="G170" s="27">
        <v>623.26</v>
      </c>
      <c r="H170" s="27">
        <v>124.65</v>
      </c>
      <c r="I170" s="27">
        <v>747.91</v>
      </c>
      <c r="J170" s="29" cm="1">
        <f t="array" ref="J170">INDEX(Commandes!$B$2:$B$421,MATCH(B170,Commandes!$A$2:$A$421,0))</f>
        <v>45916</v>
      </c>
    </row>
    <row r="171" spans="1:10">
      <c r="A171" t="s">
        <v>1139</v>
      </c>
      <c r="B171" t="s">
        <v>612</v>
      </c>
      <c r="C171" t="s">
        <v>414</v>
      </c>
      <c r="D171">
        <v>2</v>
      </c>
      <c r="E171" s="27">
        <v>63.96</v>
      </c>
      <c r="F171" s="28">
        <v>0.1</v>
      </c>
      <c r="G171" s="27">
        <v>115.13</v>
      </c>
      <c r="H171" s="27">
        <v>23.03</v>
      </c>
      <c r="I171" s="27">
        <v>138.16</v>
      </c>
      <c r="J171" s="29" cm="1">
        <f t="array" ref="J171">INDEX(Commandes!$B$2:$B$421,MATCH(B171,Commandes!$A$2:$A$421,0))</f>
        <v>45916</v>
      </c>
    </row>
    <row r="172" spans="1:10">
      <c r="A172" t="s">
        <v>1140</v>
      </c>
      <c r="B172" t="s">
        <v>612</v>
      </c>
      <c r="C172" t="s">
        <v>469</v>
      </c>
      <c r="D172">
        <v>1</v>
      </c>
      <c r="E172" s="27">
        <v>30.71</v>
      </c>
      <c r="F172" s="28">
        <v>0</v>
      </c>
      <c r="G172" s="27">
        <v>30.71</v>
      </c>
      <c r="H172" s="27">
        <v>6.14</v>
      </c>
      <c r="I172" s="27">
        <v>36.85</v>
      </c>
      <c r="J172" s="29" cm="1">
        <f t="array" ref="J172">INDEX(Commandes!$B$2:$B$421,MATCH(B172,Commandes!$A$2:$A$421,0))</f>
        <v>45916</v>
      </c>
    </row>
    <row r="173" spans="1:10">
      <c r="A173" t="s">
        <v>1141</v>
      </c>
      <c r="B173" t="s">
        <v>613</v>
      </c>
      <c r="C173" t="s">
        <v>391</v>
      </c>
      <c r="D173">
        <v>1</v>
      </c>
      <c r="E173" s="27">
        <v>138.13</v>
      </c>
      <c r="F173" s="28">
        <v>0</v>
      </c>
      <c r="G173" s="27">
        <v>138.13</v>
      </c>
      <c r="H173" s="27">
        <v>27.63</v>
      </c>
      <c r="I173" s="27">
        <v>165.76</v>
      </c>
      <c r="J173" s="29" cm="1">
        <f t="array" ref="J173">INDEX(Commandes!$B$2:$B$421,MATCH(B173,Commandes!$A$2:$A$421,0))</f>
        <v>45879</v>
      </c>
    </row>
    <row r="174" spans="1:10">
      <c r="A174" t="s">
        <v>1142</v>
      </c>
      <c r="B174" t="s">
        <v>613</v>
      </c>
      <c r="C174" t="s">
        <v>467</v>
      </c>
      <c r="D174">
        <v>1</v>
      </c>
      <c r="E174" s="27">
        <v>49.53</v>
      </c>
      <c r="F174" s="28">
        <v>0.05</v>
      </c>
      <c r="G174" s="27">
        <v>47.05</v>
      </c>
      <c r="H174" s="27">
        <v>9.41</v>
      </c>
      <c r="I174" s="27">
        <v>56.46</v>
      </c>
      <c r="J174" s="29" cm="1">
        <f t="array" ref="J174">INDEX(Commandes!$B$2:$B$421,MATCH(B174,Commandes!$A$2:$A$421,0))</f>
        <v>45879</v>
      </c>
    </row>
    <row r="175" spans="1:10">
      <c r="A175" t="s">
        <v>1143</v>
      </c>
      <c r="B175" t="s">
        <v>613</v>
      </c>
      <c r="C175" t="s">
        <v>459</v>
      </c>
      <c r="D175">
        <v>1</v>
      </c>
      <c r="E175" s="27">
        <v>70.8</v>
      </c>
      <c r="F175" s="28">
        <v>0.05</v>
      </c>
      <c r="G175" s="27">
        <v>67.26</v>
      </c>
      <c r="H175" s="27">
        <v>13.45</v>
      </c>
      <c r="I175" s="27">
        <v>80.71</v>
      </c>
      <c r="J175" s="29" cm="1">
        <f t="array" ref="J175">INDEX(Commandes!$B$2:$B$421,MATCH(B175,Commandes!$A$2:$A$421,0))</f>
        <v>45879</v>
      </c>
    </row>
    <row r="176" spans="1:10">
      <c r="A176" t="s">
        <v>1144</v>
      </c>
      <c r="B176" t="s">
        <v>613</v>
      </c>
      <c r="C176" t="s">
        <v>400</v>
      </c>
      <c r="D176">
        <v>1</v>
      </c>
      <c r="E176" s="27">
        <v>328.03</v>
      </c>
      <c r="F176" s="28">
        <v>0.1</v>
      </c>
      <c r="G176" s="27">
        <v>295.23</v>
      </c>
      <c r="H176" s="27">
        <v>59.05</v>
      </c>
      <c r="I176" s="27">
        <v>354.28</v>
      </c>
      <c r="J176" s="29" cm="1">
        <f t="array" ref="J176">INDEX(Commandes!$B$2:$B$421,MATCH(B176,Commandes!$A$2:$A$421,0))</f>
        <v>45879</v>
      </c>
    </row>
    <row r="177" spans="1:10">
      <c r="A177" t="s">
        <v>1145</v>
      </c>
      <c r="B177" t="s">
        <v>613</v>
      </c>
      <c r="C177" t="s">
        <v>408</v>
      </c>
      <c r="D177">
        <v>5</v>
      </c>
      <c r="E177" s="27">
        <v>19.65</v>
      </c>
      <c r="F177" s="28">
        <v>0.15</v>
      </c>
      <c r="G177" s="27">
        <v>83.51</v>
      </c>
      <c r="H177" s="27">
        <v>16.7</v>
      </c>
      <c r="I177" s="27">
        <v>100.21</v>
      </c>
      <c r="J177" s="29" cm="1">
        <f t="array" ref="J177">INDEX(Commandes!$B$2:$B$421,MATCH(B177,Commandes!$A$2:$A$421,0))</f>
        <v>45879</v>
      </c>
    </row>
    <row r="178" spans="1:10">
      <c r="A178" t="s">
        <v>1146</v>
      </c>
      <c r="B178" t="s">
        <v>614</v>
      </c>
      <c r="C178" t="s">
        <v>427</v>
      </c>
      <c r="D178">
        <v>1</v>
      </c>
      <c r="E178" s="27">
        <v>25.25</v>
      </c>
      <c r="F178" s="28">
        <v>0.05</v>
      </c>
      <c r="G178" s="27">
        <v>23.99</v>
      </c>
      <c r="H178" s="27">
        <v>4.8</v>
      </c>
      <c r="I178" s="27">
        <v>28.79</v>
      </c>
      <c r="J178" s="29" cm="1">
        <f t="array" ref="J178">INDEX(Commandes!$B$2:$B$421,MATCH(B178,Commandes!$A$2:$A$421,0))</f>
        <v>45570</v>
      </c>
    </row>
    <row r="179" spans="1:10">
      <c r="A179" t="s">
        <v>1147</v>
      </c>
      <c r="B179" t="s">
        <v>615</v>
      </c>
      <c r="C179" t="s">
        <v>435</v>
      </c>
      <c r="D179">
        <v>2</v>
      </c>
      <c r="E179" s="27">
        <v>262.34</v>
      </c>
      <c r="F179" s="28">
        <v>0</v>
      </c>
      <c r="G179" s="27">
        <v>524.68</v>
      </c>
      <c r="H179" s="27">
        <v>104.94</v>
      </c>
      <c r="I179" s="27">
        <v>629.62</v>
      </c>
      <c r="J179" s="29" cm="1">
        <f t="array" ref="J179">INDEX(Commandes!$B$2:$B$421,MATCH(B179,Commandes!$A$2:$A$421,0))</f>
        <v>45394</v>
      </c>
    </row>
    <row r="180" spans="1:10">
      <c r="A180" t="s">
        <v>1148</v>
      </c>
      <c r="B180" t="s">
        <v>615</v>
      </c>
      <c r="C180" t="s">
        <v>473</v>
      </c>
      <c r="D180">
        <v>8</v>
      </c>
      <c r="E180" s="27">
        <v>40.73</v>
      </c>
      <c r="F180" s="28">
        <v>0</v>
      </c>
      <c r="G180" s="27">
        <v>325.84</v>
      </c>
      <c r="H180" s="27">
        <v>65.17</v>
      </c>
      <c r="I180" s="27">
        <v>391.01</v>
      </c>
      <c r="J180" s="29" cm="1">
        <f t="array" ref="J180">INDEX(Commandes!$B$2:$B$421,MATCH(B180,Commandes!$A$2:$A$421,0))</f>
        <v>45394</v>
      </c>
    </row>
    <row r="181" spans="1:10">
      <c r="A181" t="s">
        <v>1149</v>
      </c>
      <c r="B181" t="s">
        <v>615</v>
      </c>
      <c r="C181" t="s">
        <v>410</v>
      </c>
      <c r="D181">
        <v>2</v>
      </c>
      <c r="E181" s="27">
        <v>106.93</v>
      </c>
      <c r="F181" s="28">
        <v>0</v>
      </c>
      <c r="G181" s="27">
        <v>213.86</v>
      </c>
      <c r="H181" s="27">
        <v>42.77</v>
      </c>
      <c r="I181" s="27">
        <v>256.63</v>
      </c>
      <c r="J181" s="29" cm="1">
        <f t="array" ref="J181">INDEX(Commandes!$B$2:$B$421,MATCH(B181,Commandes!$A$2:$A$421,0))</f>
        <v>45394</v>
      </c>
    </row>
    <row r="182" spans="1:10">
      <c r="A182" t="s">
        <v>1150</v>
      </c>
      <c r="B182" t="s">
        <v>616</v>
      </c>
      <c r="C182" t="s">
        <v>396</v>
      </c>
      <c r="D182">
        <v>5</v>
      </c>
      <c r="E182" s="27">
        <v>225.64</v>
      </c>
      <c r="F182" s="28">
        <v>0</v>
      </c>
      <c r="G182" s="27">
        <v>1128.2</v>
      </c>
      <c r="H182" s="27">
        <v>225.64</v>
      </c>
      <c r="I182" s="27">
        <v>1353.84</v>
      </c>
      <c r="J182" s="29" cm="1">
        <f t="array" ref="J182">INDEX(Commandes!$B$2:$B$421,MATCH(B182,Commandes!$A$2:$A$421,0))</f>
        <v>45959</v>
      </c>
    </row>
    <row r="183" spans="1:10">
      <c r="A183" t="s">
        <v>1151</v>
      </c>
      <c r="B183" t="s">
        <v>616</v>
      </c>
      <c r="C183" t="s">
        <v>425</v>
      </c>
      <c r="D183">
        <v>3</v>
      </c>
      <c r="E183" s="27">
        <v>36.08</v>
      </c>
      <c r="F183" s="28">
        <v>0</v>
      </c>
      <c r="G183" s="27">
        <v>108.24</v>
      </c>
      <c r="H183" s="27">
        <v>21.65</v>
      </c>
      <c r="I183" s="27">
        <v>129.89</v>
      </c>
      <c r="J183" s="29" cm="1">
        <f t="array" ref="J183">INDEX(Commandes!$B$2:$B$421,MATCH(B183,Commandes!$A$2:$A$421,0))</f>
        <v>45959</v>
      </c>
    </row>
    <row r="184" spans="1:10">
      <c r="A184" t="s">
        <v>1152</v>
      </c>
      <c r="B184" t="s">
        <v>616</v>
      </c>
      <c r="C184" t="s">
        <v>471</v>
      </c>
      <c r="D184">
        <v>8</v>
      </c>
      <c r="E184" s="27">
        <v>35.83</v>
      </c>
      <c r="F184" s="28">
        <v>0</v>
      </c>
      <c r="G184" s="27">
        <v>286.64</v>
      </c>
      <c r="H184" s="27">
        <v>57.33</v>
      </c>
      <c r="I184" s="27">
        <v>343.97</v>
      </c>
      <c r="J184" s="29" cm="1">
        <f t="array" ref="J184">INDEX(Commandes!$B$2:$B$421,MATCH(B184,Commandes!$A$2:$A$421,0))</f>
        <v>45959</v>
      </c>
    </row>
    <row r="185" spans="1:10">
      <c r="A185" t="s">
        <v>1153</v>
      </c>
      <c r="B185" t="s">
        <v>616</v>
      </c>
      <c r="C185" t="s">
        <v>372</v>
      </c>
      <c r="D185">
        <v>1</v>
      </c>
      <c r="E185" s="27">
        <v>216.77</v>
      </c>
      <c r="F185" s="28">
        <v>0.1</v>
      </c>
      <c r="G185" s="27">
        <v>195.09</v>
      </c>
      <c r="H185" s="27">
        <v>39.02</v>
      </c>
      <c r="I185" s="27">
        <v>234.11</v>
      </c>
      <c r="J185" s="29" cm="1">
        <f t="array" ref="J185">INDEX(Commandes!$B$2:$B$421,MATCH(B185,Commandes!$A$2:$A$421,0))</f>
        <v>45959</v>
      </c>
    </row>
    <row r="186" spans="1:10">
      <c r="A186" t="s">
        <v>1154</v>
      </c>
      <c r="B186" t="s">
        <v>617</v>
      </c>
      <c r="C186" t="s">
        <v>433</v>
      </c>
      <c r="D186">
        <v>1</v>
      </c>
      <c r="E186" s="27">
        <v>58.14</v>
      </c>
      <c r="F186" s="28">
        <v>0</v>
      </c>
      <c r="G186" s="27">
        <v>58.14</v>
      </c>
      <c r="H186" s="27">
        <v>11.63</v>
      </c>
      <c r="I186" s="27">
        <v>69.77</v>
      </c>
      <c r="J186" s="29" cm="1">
        <f t="array" ref="J186">INDEX(Commandes!$B$2:$B$421,MATCH(B186,Commandes!$A$2:$A$421,0))</f>
        <v>45909</v>
      </c>
    </row>
    <row r="187" spans="1:10">
      <c r="A187" t="s">
        <v>1155</v>
      </c>
      <c r="B187" t="s">
        <v>617</v>
      </c>
      <c r="C187" t="s">
        <v>417</v>
      </c>
      <c r="D187">
        <v>1</v>
      </c>
      <c r="E187" s="27">
        <v>59.79</v>
      </c>
      <c r="F187" s="28">
        <v>0.05</v>
      </c>
      <c r="G187" s="27">
        <v>56.8</v>
      </c>
      <c r="H187" s="27">
        <v>11.36</v>
      </c>
      <c r="I187" s="27">
        <v>68.16</v>
      </c>
      <c r="J187" s="29" cm="1">
        <f t="array" ref="J187">INDEX(Commandes!$B$2:$B$421,MATCH(B187,Commandes!$A$2:$A$421,0))</f>
        <v>45909</v>
      </c>
    </row>
    <row r="188" spans="1:10">
      <c r="A188" t="s">
        <v>1156</v>
      </c>
      <c r="B188" t="s">
        <v>617</v>
      </c>
      <c r="C188" t="s">
        <v>459</v>
      </c>
      <c r="D188">
        <v>1</v>
      </c>
      <c r="E188" s="27">
        <v>70.8</v>
      </c>
      <c r="F188" s="28">
        <v>0</v>
      </c>
      <c r="G188" s="27">
        <v>70.8</v>
      </c>
      <c r="H188" s="27">
        <v>14.16</v>
      </c>
      <c r="I188" s="27">
        <v>84.96</v>
      </c>
      <c r="J188" s="29" cm="1">
        <f t="array" ref="J188">INDEX(Commandes!$B$2:$B$421,MATCH(B188,Commandes!$A$2:$A$421,0))</f>
        <v>45909</v>
      </c>
    </row>
    <row r="189" spans="1:10">
      <c r="A189" t="s">
        <v>1157</v>
      </c>
      <c r="B189" t="s">
        <v>617</v>
      </c>
      <c r="C189" t="s">
        <v>366</v>
      </c>
      <c r="D189">
        <v>3</v>
      </c>
      <c r="E189" s="27">
        <v>1103.64</v>
      </c>
      <c r="F189" s="28">
        <v>0</v>
      </c>
      <c r="G189" s="27">
        <v>3310.92</v>
      </c>
      <c r="H189" s="27">
        <v>662.18</v>
      </c>
      <c r="I189" s="27">
        <v>3973.1</v>
      </c>
      <c r="J189" s="29" cm="1">
        <f t="array" ref="J189">INDEX(Commandes!$B$2:$B$421,MATCH(B189,Commandes!$A$2:$A$421,0))</f>
        <v>45909</v>
      </c>
    </row>
    <row r="190" spans="1:10">
      <c r="A190" t="s">
        <v>1158</v>
      </c>
      <c r="B190" t="s">
        <v>618</v>
      </c>
      <c r="C190" t="s">
        <v>380</v>
      </c>
      <c r="D190">
        <v>1</v>
      </c>
      <c r="E190" s="27">
        <v>80.3</v>
      </c>
      <c r="F190" s="28">
        <v>0</v>
      </c>
      <c r="G190" s="27">
        <v>80.3</v>
      </c>
      <c r="H190" s="27">
        <v>16.06</v>
      </c>
      <c r="I190" s="27">
        <v>96.36</v>
      </c>
      <c r="J190" s="29" cm="1">
        <f t="array" ref="J190">INDEX(Commandes!$B$2:$B$421,MATCH(B190,Commandes!$A$2:$A$421,0))</f>
        <v>45873</v>
      </c>
    </row>
    <row r="191" spans="1:10">
      <c r="A191" t="s">
        <v>1159</v>
      </c>
      <c r="B191" t="s">
        <v>618</v>
      </c>
      <c r="C191" t="s">
        <v>396</v>
      </c>
      <c r="D191">
        <v>10</v>
      </c>
      <c r="E191" s="27">
        <v>225.64</v>
      </c>
      <c r="F191" s="28">
        <v>0.05</v>
      </c>
      <c r="G191" s="27">
        <v>2143.58</v>
      </c>
      <c r="H191" s="27">
        <v>428.72</v>
      </c>
      <c r="I191" s="27">
        <v>2572.3</v>
      </c>
      <c r="J191" s="29" cm="1">
        <f t="array" ref="J191">INDEX(Commandes!$B$2:$B$421,MATCH(B191,Commandes!$A$2:$A$421,0))</f>
        <v>45873</v>
      </c>
    </row>
    <row r="192" spans="1:10">
      <c r="A192" t="s">
        <v>1160</v>
      </c>
      <c r="B192" t="s">
        <v>619</v>
      </c>
      <c r="C192" t="s">
        <v>417</v>
      </c>
      <c r="D192">
        <v>1</v>
      </c>
      <c r="E192" s="27">
        <v>59.79</v>
      </c>
      <c r="F192" s="28">
        <v>0.15</v>
      </c>
      <c r="G192" s="27">
        <v>50.82</v>
      </c>
      <c r="H192" s="27">
        <v>10.16</v>
      </c>
      <c r="I192" s="27">
        <v>60.98</v>
      </c>
      <c r="J192" s="29" cm="1">
        <f t="array" ref="J192">INDEX(Commandes!$B$2:$B$421,MATCH(B192,Commandes!$A$2:$A$421,0))</f>
        <v>45623</v>
      </c>
    </row>
    <row r="193" spans="1:10">
      <c r="A193" t="s">
        <v>1161</v>
      </c>
      <c r="B193" t="s">
        <v>619</v>
      </c>
      <c r="C193" t="s">
        <v>448</v>
      </c>
      <c r="D193">
        <v>1</v>
      </c>
      <c r="E193" s="27">
        <v>543.43</v>
      </c>
      <c r="F193" s="28">
        <v>0.15</v>
      </c>
      <c r="G193" s="27">
        <v>461.92</v>
      </c>
      <c r="H193" s="27">
        <v>92.38</v>
      </c>
      <c r="I193" s="27">
        <v>554.3</v>
      </c>
      <c r="J193" s="29" cm="1">
        <f t="array" ref="J193">INDEX(Commandes!$B$2:$B$421,MATCH(B193,Commandes!$A$2:$A$421,0))</f>
        <v>45623</v>
      </c>
    </row>
    <row r="194" spans="1:10">
      <c r="A194" t="s">
        <v>1162</v>
      </c>
      <c r="B194" t="s">
        <v>619</v>
      </c>
      <c r="C194" t="s">
        <v>421</v>
      </c>
      <c r="D194">
        <v>2</v>
      </c>
      <c r="E194" s="27">
        <v>78.78</v>
      </c>
      <c r="F194" s="28">
        <v>0</v>
      </c>
      <c r="G194" s="27">
        <v>157.56</v>
      </c>
      <c r="H194" s="27">
        <v>31.51</v>
      </c>
      <c r="I194" s="27">
        <v>189.07</v>
      </c>
      <c r="J194" s="29" cm="1">
        <f t="array" ref="J194">INDEX(Commandes!$B$2:$B$421,MATCH(B194,Commandes!$A$2:$A$421,0))</f>
        <v>45623</v>
      </c>
    </row>
    <row r="195" spans="1:10">
      <c r="A195" t="s">
        <v>1163</v>
      </c>
      <c r="B195" t="s">
        <v>620</v>
      </c>
      <c r="C195" t="s">
        <v>410</v>
      </c>
      <c r="D195">
        <v>1</v>
      </c>
      <c r="E195" s="27">
        <v>106.93</v>
      </c>
      <c r="F195" s="28">
        <v>0</v>
      </c>
      <c r="G195" s="27">
        <v>106.93</v>
      </c>
      <c r="H195" s="27">
        <v>21.39</v>
      </c>
      <c r="I195" s="27">
        <v>128.32</v>
      </c>
      <c r="J195" s="29" cm="1">
        <f t="array" ref="J195">INDEX(Commandes!$B$2:$B$421,MATCH(B195,Commandes!$A$2:$A$421,0))</f>
        <v>45975</v>
      </c>
    </row>
    <row r="196" spans="1:10">
      <c r="A196" t="s">
        <v>1164</v>
      </c>
      <c r="B196" t="s">
        <v>620</v>
      </c>
      <c r="C196" t="s">
        <v>402</v>
      </c>
      <c r="D196">
        <v>5</v>
      </c>
      <c r="E196" s="27">
        <v>26.57</v>
      </c>
      <c r="F196" s="28">
        <v>0.05</v>
      </c>
      <c r="G196" s="27">
        <v>126.21</v>
      </c>
      <c r="H196" s="27">
        <v>25.24</v>
      </c>
      <c r="I196" s="27">
        <v>151.45</v>
      </c>
      <c r="J196" s="29" cm="1">
        <f t="array" ref="J196">INDEX(Commandes!$B$2:$B$421,MATCH(B196,Commandes!$A$2:$A$421,0))</f>
        <v>45975</v>
      </c>
    </row>
    <row r="197" spans="1:10">
      <c r="A197" t="s">
        <v>1165</v>
      </c>
      <c r="B197" t="s">
        <v>621</v>
      </c>
      <c r="C197" t="s">
        <v>463</v>
      </c>
      <c r="D197">
        <v>3</v>
      </c>
      <c r="E197" s="27">
        <v>73.02</v>
      </c>
      <c r="F197" s="28">
        <v>0</v>
      </c>
      <c r="G197" s="27">
        <v>219.06</v>
      </c>
      <c r="H197" s="27">
        <v>43.81</v>
      </c>
      <c r="I197" s="27">
        <v>262.87</v>
      </c>
      <c r="J197" s="29" cm="1">
        <f t="array" ref="J197">INDEX(Commandes!$B$2:$B$421,MATCH(B197,Commandes!$A$2:$A$421,0))</f>
        <v>45448</v>
      </c>
    </row>
    <row r="198" spans="1:10">
      <c r="A198" t="s">
        <v>1166</v>
      </c>
      <c r="B198" t="s">
        <v>621</v>
      </c>
      <c r="C198" t="s">
        <v>442</v>
      </c>
      <c r="D198">
        <v>1</v>
      </c>
      <c r="E198" s="27">
        <v>374.59</v>
      </c>
      <c r="F198" s="28">
        <v>0.15</v>
      </c>
      <c r="G198" s="27">
        <v>318.4</v>
      </c>
      <c r="H198" s="27">
        <v>63.68</v>
      </c>
      <c r="I198" s="27">
        <v>382.08</v>
      </c>
      <c r="J198" s="29" cm="1">
        <f t="array" ref="J198">INDEX(Commandes!$B$2:$B$421,MATCH(B198,Commandes!$A$2:$A$421,0))</f>
        <v>45448</v>
      </c>
    </row>
    <row r="199" spans="1:10">
      <c r="A199" t="s">
        <v>1167</v>
      </c>
      <c r="B199" t="s">
        <v>621</v>
      </c>
      <c r="C199" t="s">
        <v>421</v>
      </c>
      <c r="D199">
        <v>1</v>
      </c>
      <c r="E199" s="27">
        <v>78.78</v>
      </c>
      <c r="F199" s="28">
        <v>0.1</v>
      </c>
      <c r="G199" s="27">
        <v>70.9</v>
      </c>
      <c r="H199" s="27">
        <v>14.18</v>
      </c>
      <c r="I199" s="27">
        <v>85.08</v>
      </c>
      <c r="J199" s="29" cm="1">
        <f t="array" ref="J199">INDEX(Commandes!$B$2:$B$421,MATCH(B199,Commandes!$A$2:$A$421,0))</f>
        <v>45448</v>
      </c>
    </row>
    <row r="200" spans="1:10">
      <c r="A200" t="s">
        <v>1168</v>
      </c>
      <c r="B200" t="s">
        <v>622</v>
      </c>
      <c r="C200" t="s">
        <v>442</v>
      </c>
      <c r="D200">
        <v>1</v>
      </c>
      <c r="E200" s="27">
        <v>374.59</v>
      </c>
      <c r="F200" s="28">
        <v>0.15</v>
      </c>
      <c r="G200" s="27">
        <v>318.4</v>
      </c>
      <c r="H200" s="27">
        <v>63.68</v>
      </c>
      <c r="I200" s="27">
        <v>382.08</v>
      </c>
      <c r="J200" s="29" cm="1">
        <f t="array" ref="J200">INDEX(Commandes!$B$2:$B$421,MATCH(B200,Commandes!$A$2:$A$421,0))</f>
        <v>45406</v>
      </c>
    </row>
    <row r="201" spans="1:10">
      <c r="A201" t="s">
        <v>1169</v>
      </c>
      <c r="B201" t="s">
        <v>622</v>
      </c>
      <c r="C201" t="s">
        <v>400</v>
      </c>
      <c r="D201">
        <v>3</v>
      </c>
      <c r="E201" s="27">
        <v>328.03</v>
      </c>
      <c r="F201" s="28">
        <v>0.05</v>
      </c>
      <c r="G201" s="27">
        <v>934.89</v>
      </c>
      <c r="H201" s="27">
        <v>186.98</v>
      </c>
      <c r="I201" s="27">
        <v>1121.87</v>
      </c>
      <c r="J201" s="29" cm="1">
        <f t="array" ref="J201">INDEX(Commandes!$B$2:$B$421,MATCH(B201,Commandes!$A$2:$A$421,0))</f>
        <v>45406</v>
      </c>
    </row>
    <row r="202" spans="1:10">
      <c r="A202" t="s">
        <v>1170</v>
      </c>
      <c r="B202" t="s">
        <v>623</v>
      </c>
      <c r="C202" t="s">
        <v>433</v>
      </c>
      <c r="D202">
        <v>2</v>
      </c>
      <c r="E202" s="27">
        <v>58.14</v>
      </c>
      <c r="F202" s="28">
        <v>0.1</v>
      </c>
      <c r="G202" s="27">
        <v>104.65</v>
      </c>
      <c r="H202" s="27">
        <v>20.93</v>
      </c>
      <c r="I202" s="27">
        <v>125.58</v>
      </c>
      <c r="J202" s="29" cm="1">
        <f t="array" ref="J202">INDEX(Commandes!$B$2:$B$421,MATCH(B202,Commandes!$A$2:$A$421,0))</f>
        <v>45385</v>
      </c>
    </row>
    <row r="203" spans="1:10">
      <c r="A203" t="s">
        <v>1171</v>
      </c>
      <c r="B203" t="s">
        <v>623</v>
      </c>
      <c r="C203" t="s">
        <v>433</v>
      </c>
      <c r="D203">
        <v>2</v>
      </c>
      <c r="E203" s="27">
        <v>58.14</v>
      </c>
      <c r="F203" s="28">
        <v>0</v>
      </c>
      <c r="G203" s="27">
        <v>116.28</v>
      </c>
      <c r="H203" s="27">
        <v>23.26</v>
      </c>
      <c r="I203" s="27">
        <v>139.54</v>
      </c>
      <c r="J203" s="29" cm="1">
        <f t="array" ref="J203">INDEX(Commandes!$B$2:$B$421,MATCH(B203,Commandes!$A$2:$A$421,0))</f>
        <v>45385</v>
      </c>
    </row>
    <row r="204" spans="1:10">
      <c r="A204" t="s">
        <v>1172</v>
      </c>
      <c r="B204" t="s">
        <v>624</v>
      </c>
      <c r="C204" t="s">
        <v>465</v>
      </c>
      <c r="D204">
        <v>1</v>
      </c>
      <c r="E204" s="27">
        <v>44.16</v>
      </c>
      <c r="F204" s="28">
        <v>0</v>
      </c>
      <c r="G204" s="27">
        <v>44.16</v>
      </c>
      <c r="H204" s="27">
        <v>8.83</v>
      </c>
      <c r="I204" s="27">
        <v>52.99</v>
      </c>
      <c r="J204" s="29" cm="1">
        <f t="array" ref="J204">INDEX(Commandes!$B$2:$B$421,MATCH(B204,Commandes!$A$2:$A$421,0))</f>
        <v>45314</v>
      </c>
    </row>
    <row r="205" spans="1:10">
      <c r="A205" t="s">
        <v>1173</v>
      </c>
      <c r="B205" t="s">
        <v>624</v>
      </c>
      <c r="C205" t="s">
        <v>377</v>
      </c>
      <c r="D205">
        <v>10</v>
      </c>
      <c r="E205" s="27">
        <v>84.94</v>
      </c>
      <c r="F205" s="28">
        <v>0.05</v>
      </c>
      <c r="G205" s="27">
        <v>806.93</v>
      </c>
      <c r="H205" s="27">
        <v>161.39</v>
      </c>
      <c r="I205" s="27">
        <v>968.32</v>
      </c>
      <c r="J205" s="29" cm="1">
        <f t="array" ref="J205">INDEX(Commandes!$B$2:$B$421,MATCH(B205,Commandes!$A$2:$A$421,0))</f>
        <v>45314</v>
      </c>
    </row>
    <row r="206" spans="1:10">
      <c r="A206" t="s">
        <v>1174</v>
      </c>
      <c r="B206" t="s">
        <v>625</v>
      </c>
      <c r="C206" t="s">
        <v>423</v>
      </c>
      <c r="D206">
        <v>1</v>
      </c>
      <c r="E206" s="27">
        <v>46.02</v>
      </c>
      <c r="F206" s="28">
        <v>0.05</v>
      </c>
      <c r="G206" s="27">
        <v>43.72</v>
      </c>
      <c r="H206" s="27">
        <v>8.74</v>
      </c>
      <c r="I206" s="27">
        <v>52.46</v>
      </c>
      <c r="J206" s="29" cm="1">
        <f t="array" ref="J206">INDEX(Commandes!$B$2:$B$421,MATCH(B206,Commandes!$A$2:$A$421,0))</f>
        <v>45324</v>
      </c>
    </row>
    <row r="207" spans="1:10">
      <c r="A207" t="s">
        <v>1175</v>
      </c>
      <c r="B207" t="s">
        <v>625</v>
      </c>
      <c r="C207" t="s">
        <v>423</v>
      </c>
      <c r="D207">
        <v>1</v>
      </c>
      <c r="E207" s="27">
        <v>46.02</v>
      </c>
      <c r="F207" s="28">
        <v>0.15</v>
      </c>
      <c r="G207" s="27">
        <v>39.12</v>
      </c>
      <c r="H207" s="27">
        <v>7.82</v>
      </c>
      <c r="I207" s="27">
        <v>46.94</v>
      </c>
      <c r="J207" s="29" cm="1">
        <f t="array" ref="J207">INDEX(Commandes!$B$2:$B$421,MATCH(B207,Commandes!$A$2:$A$421,0))</f>
        <v>45324</v>
      </c>
    </row>
    <row r="208" spans="1:10">
      <c r="A208" t="s">
        <v>1176</v>
      </c>
      <c r="B208" t="s">
        <v>625</v>
      </c>
      <c r="C208" t="s">
        <v>444</v>
      </c>
      <c r="D208">
        <v>1</v>
      </c>
      <c r="E208" s="27">
        <v>442.3</v>
      </c>
      <c r="F208" s="28">
        <v>0</v>
      </c>
      <c r="G208" s="27">
        <v>442.3</v>
      </c>
      <c r="H208" s="27">
        <v>88.46</v>
      </c>
      <c r="I208" s="27">
        <v>530.76</v>
      </c>
      <c r="J208" s="29" cm="1">
        <f t="array" ref="J208">INDEX(Commandes!$B$2:$B$421,MATCH(B208,Commandes!$A$2:$A$421,0))</f>
        <v>45324</v>
      </c>
    </row>
    <row r="209" spans="1:10">
      <c r="A209" t="s">
        <v>1177</v>
      </c>
      <c r="B209" t="s">
        <v>625</v>
      </c>
      <c r="C209" t="s">
        <v>387</v>
      </c>
      <c r="D209">
        <v>1</v>
      </c>
      <c r="E209" s="27">
        <v>37.91</v>
      </c>
      <c r="F209" s="28">
        <v>0.1</v>
      </c>
      <c r="G209" s="27">
        <v>34.12</v>
      </c>
      <c r="H209" s="27">
        <v>6.82</v>
      </c>
      <c r="I209" s="27">
        <v>40.94</v>
      </c>
      <c r="J209" s="29" cm="1">
        <f t="array" ref="J209">INDEX(Commandes!$B$2:$B$421,MATCH(B209,Commandes!$A$2:$A$421,0))</f>
        <v>45324</v>
      </c>
    </row>
    <row r="210" spans="1:10">
      <c r="A210" t="s">
        <v>1178</v>
      </c>
      <c r="B210" t="s">
        <v>625</v>
      </c>
      <c r="C210" t="s">
        <v>425</v>
      </c>
      <c r="D210">
        <v>2</v>
      </c>
      <c r="E210" s="27">
        <v>36.08</v>
      </c>
      <c r="F210" s="28">
        <v>0.15</v>
      </c>
      <c r="G210" s="27">
        <v>61.34</v>
      </c>
      <c r="H210" s="27">
        <v>12.27</v>
      </c>
      <c r="I210" s="27">
        <v>73.61</v>
      </c>
      <c r="J210" s="29" cm="1">
        <f t="array" ref="J210">INDEX(Commandes!$B$2:$B$421,MATCH(B210,Commandes!$A$2:$A$421,0))</f>
        <v>45324</v>
      </c>
    </row>
    <row r="211" spans="1:10">
      <c r="A211" t="s">
        <v>1179</v>
      </c>
      <c r="B211" t="s">
        <v>626</v>
      </c>
      <c r="C211" t="s">
        <v>402</v>
      </c>
      <c r="D211">
        <v>1</v>
      </c>
      <c r="E211" s="27">
        <v>26.57</v>
      </c>
      <c r="F211" s="28">
        <v>0</v>
      </c>
      <c r="G211" s="27">
        <v>26.57</v>
      </c>
      <c r="H211" s="27">
        <v>5.31</v>
      </c>
      <c r="I211" s="27">
        <v>31.88</v>
      </c>
      <c r="J211" s="29" cm="1">
        <f t="array" ref="J211">INDEX(Commandes!$B$2:$B$421,MATCH(B211,Commandes!$A$2:$A$421,0))</f>
        <v>45520</v>
      </c>
    </row>
    <row r="212" spans="1:10">
      <c r="A212" t="s">
        <v>1180</v>
      </c>
      <c r="B212" t="s">
        <v>626</v>
      </c>
      <c r="C212" t="s">
        <v>391</v>
      </c>
      <c r="D212">
        <v>1</v>
      </c>
      <c r="E212" s="27">
        <v>138.13</v>
      </c>
      <c r="F212" s="28">
        <v>0.15</v>
      </c>
      <c r="G212" s="27">
        <v>117.41</v>
      </c>
      <c r="H212" s="27">
        <v>23.48</v>
      </c>
      <c r="I212" s="27">
        <v>140.89</v>
      </c>
      <c r="J212" s="29" cm="1">
        <f t="array" ref="J212">INDEX(Commandes!$B$2:$B$421,MATCH(B212,Commandes!$A$2:$A$421,0))</f>
        <v>45520</v>
      </c>
    </row>
    <row r="213" spans="1:10">
      <c r="A213" t="s">
        <v>1181</v>
      </c>
      <c r="B213" t="s">
        <v>627</v>
      </c>
      <c r="C213" t="s">
        <v>431</v>
      </c>
      <c r="D213">
        <v>2</v>
      </c>
      <c r="E213" s="27">
        <v>47.74</v>
      </c>
      <c r="F213" s="28">
        <v>0.15</v>
      </c>
      <c r="G213" s="27">
        <v>81.16</v>
      </c>
      <c r="H213" s="27">
        <v>16.23</v>
      </c>
      <c r="I213" s="27">
        <v>97.39</v>
      </c>
      <c r="J213" s="29" cm="1">
        <f t="array" ref="J213">INDEX(Commandes!$B$2:$B$421,MATCH(B213,Commandes!$A$2:$A$421,0))</f>
        <v>45407</v>
      </c>
    </row>
    <row r="214" spans="1:10">
      <c r="A214" t="s">
        <v>1182</v>
      </c>
      <c r="B214" t="s">
        <v>627</v>
      </c>
      <c r="C214" t="s">
        <v>374</v>
      </c>
      <c r="D214">
        <v>1</v>
      </c>
      <c r="E214" s="27">
        <v>251.56</v>
      </c>
      <c r="F214" s="28">
        <v>0</v>
      </c>
      <c r="G214" s="27">
        <v>251.56</v>
      </c>
      <c r="H214" s="27">
        <v>50.31</v>
      </c>
      <c r="I214" s="27">
        <v>301.87</v>
      </c>
      <c r="J214" s="29" cm="1">
        <f t="array" ref="J214">INDEX(Commandes!$B$2:$B$421,MATCH(B214,Commandes!$A$2:$A$421,0))</f>
        <v>45407</v>
      </c>
    </row>
    <row r="215" spans="1:10">
      <c r="A215" t="s">
        <v>1183</v>
      </c>
      <c r="B215" t="s">
        <v>628</v>
      </c>
      <c r="C215" t="s">
        <v>410</v>
      </c>
      <c r="D215">
        <v>1</v>
      </c>
      <c r="E215" s="27">
        <v>106.93</v>
      </c>
      <c r="F215" s="28">
        <v>0.15</v>
      </c>
      <c r="G215" s="27">
        <v>90.89</v>
      </c>
      <c r="H215" s="27">
        <v>18.18</v>
      </c>
      <c r="I215" s="27">
        <v>109.07</v>
      </c>
      <c r="J215" s="29" cm="1">
        <f t="array" ref="J215">INDEX(Commandes!$B$2:$B$421,MATCH(B215,Commandes!$A$2:$A$421,0))</f>
        <v>45703</v>
      </c>
    </row>
    <row r="216" spans="1:10">
      <c r="A216" t="s">
        <v>1184</v>
      </c>
      <c r="B216" t="s">
        <v>628</v>
      </c>
      <c r="C216" t="s">
        <v>448</v>
      </c>
      <c r="D216">
        <v>1</v>
      </c>
      <c r="E216" s="27">
        <v>543.43</v>
      </c>
      <c r="F216" s="28">
        <v>0.1</v>
      </c>
      <c r="G216" s="27">
        <v>489.09</v>
      </c>
      <c r="H216" s="27">
        <v>97.82</v>
      </c>
      <c r="I216" s="27">
        <v>586.91</v>
      </c>
      <c r="J216" s="29" cm="1">
        <f t="array" ref="J216">INDEX(Commandes!$B$2:$B$421,MATCH(B216,Commandes!$A$2:$A$421,0))</f>
        <v>45703</v>
      </c>
    </row>
    <row r="217" spans="1:10">
      <c r="A217" t="s">
        <v>1185</v>
      </c>
      <c r="B217" t="s">
        <v>629</v>
      </c>
      <c r="C217" t="s">
        <v>408</v>
      </c>
      <c r="D217">
        <v>1</v>
      </c>
      <c r="E217" s="27">
        <v>19.65</v>
      </c>
      <c r="F217" s="28">
        <v>0.1</v>
      </c>
      <c r="G217" s="27">
        <v>17.68</v>
      </c>
      <c r="H217" s="27">
        <v>3.54</v>
      </c>
      <c r="I217" s="27">
        <v>21.22</v>
      </c>
      <c r="J217" s="29" cm="1">
        <f t="array" ref="J217">INDEX(Commandes!$B$2:$B$421,MATCH(B217,Commandes!$A$2:$A$421,0))</f>
        <v>45980</v>
      </c>
    </row>
    <row r="218" spans="1:10">
      <c r="A218" t="s">
        <v>1186</v>
      </c>
      <c r="B218" t="s">
        <v>629</v>
      </c>
      <c r="C218" t="s">
        <v>471</v>
      </c>
      <c r="D218">
        <v>4</v>
      </c>
      <c r="E218" s="27">
        <v>35.83</v>
      </c>
      <c r="F218" s="28">
        <v>0.15</v>
      </c>
      <c r="G218" s="27">
        <v>121.82</v>
      </c>
      <c r="H218" s="27">
        <v>24.36</v>
      </c>
      <c r="I218" s="27">
        <v>146.18</v>
      </c>
      <c r="J218" s="29" cm="1">
        <f t="array" ref="J218">INDEX(Commandes!$B$2:$B$421,MATCH(B218,Commandes!$A$2:$A$421,0))</f>
        <v>45980</v>
      </c>
    </row>
    <row r="219" spans="1:10">
      <c r="A219" t="s">
        <v>1187</v>
      </c>
      <c r="B219" t="s">
        <v>630</v>
      </c>
      <c r="C219" t="s">
        <v>414</v>
      </c>
      <c r="D219">
        <v>2</v>
      </c>
      <c r="E219" s="27">
        <v>63.96</v>
      </c>
      <c r="F219" s="28">
        <v>0.05</v>
      </c>
      <c r="G219" s="27">
        <v>121.52</v>
      </c>
      <c r="H219" s="27">
        <v>24.3</v>
      </c>
      <c r="I219" s="27">
        <v>145.82</v>
      </c>
      <c r="J219" s="29" cm="1">
        <f t="array" ref="J219">INDEX(Commandes!$B$2:$B$421,MATCH(B219,Commandes!$A$2:$A$421,0))</f>
        <v>45987</v>
      </c>
    </row>
    <row r="220" spans="1:10">
      <c r="A220" t="s">
        <v>1188</v>
      </c>
      <c r="B220" t="s">
        <v>630</v>
      </c>
      <c r="C220" t="s">
        <v>391</v>
      </c>
      <c r="D220">
        <v>1</v>
      </c>
      <c r="E220" s="27">
        <v>138.13</v>
      </c>
      <c r="F220" s="28">
        <v>0</v>
      </c>
      <c r="G220" s="27">
        <v>138.13</v>
      </c>
      <c r="H220" s="27">
        <v>27.63</v>
      </c>
      <c r="I220" s="27">
        <v>165.76</v>
      </c>
      <c r="J220" s="29" cm="1">
        <f t="array" ref="J220">INDEX(Commandes!$B$2:$B$421,MATCH(B220,Commandes!$A$2:$A$421,0))</f>
        <v>45987</v>
      </c>
    </row>
    <row r="221" spans="1:10">
      <c r="A221" t="s">
        <v>1189</v>
      </c>
      <c r="B221" t="s">
        <v>630</v>
      </c>
      <c r="C221" t="s">
        <v>473</v>
      </c>
      <c r="D221">
        <v>2</v>
      </c>
      <c r="E221" s="27">
        <v>40.73</v>
      </c>
      <c r="F221" s="28">
        <v>0</v>
      </c>
      <c r="G221" s="27">
        <v>81.46</v>
      </c>
      <c r="H221" s="27">
        <v>16.29</v>
      </c>
      <c r="I221" s="27">
        <v>97.75</v>
      </c>
      <c r="J221" s="29" cm="1">
        <f t="array" ref="J221">INDEX(Commandes!$B$2:$B$421,MATCH(B221,Commandes!$A$2:$A$421,0))</f>
        <v>45987</v>
      </c>
    </row>
    <row r="222" spans="1:10">
      <c r="A222" t="s">
        <v>1190</v>
      </c>
      <c r="B222" t="s">
        <v>631</v>
      </c>
      <c r="C222" t="s">
        <v>389</v>
      </c>
      <c r="D222">
        <v>1</v>
      </c>
      <c r="E222" s="27">
        <v>120.37</v>
      </c>
      <c r="F222" s="28">
        <v>0</v>
      </c>
      <c r="G222" s="27">
        <v>120.37</v>
      </c>
      <c r="H222" s="27">
        <v>24.07</v>
      </c>
      <c r="I222" s="27">
        <v>144.44</v>
      </c>
      <c r="J222" s="29" cm="1">
        <f t="array" ref="J222">INDEX(Commandes!$B$2:$B$421,MATCH(B222,Commandes!$A$2:$A$421,0))</f>
        <v>45522</v>
      </c>
    </row>
    <row r="223" spans="1:10">
      <c r="A223" t="s">
        <v>1191</v>
      </c>
      <c r="B223" t="s">
        <v>631</v>
      </c>
      <c r="C223" t="s">
        <v>400</v>
      </c>
      <c r="D223">
        <v>1</v>
      </c>
      <c r="E223" s="27">
        <v>328.03</v>
      </c>
      <c r="F223" s="28">
        <v>0</v>
      </c>
      <c r="G223" s="27">
        <v>328.03</v>
      </c>
      <c r="H223" s="27">
        <v>65.61</v>
      </c>
      <c r="I223" s="27">
        <v>393.64</v>
      </c>
      <c r="J223" s="29" cm="1">
        <f t="array" ref="J223">INDEX(Commandes!$B$2:$B$421,MATCH(B223,Commandes!$A$2:$A$421,0))</f>
        <v>45522</v>
      </c>
    </row>
    <row r="224" spans="1:10">
      <c r="A224" t="s">
        <v>1192</v>
      </c>
      <c r="B224" t="s">
        <v>632</v>
      </c>
      <c r="C224" t="s">
        <v>463</v>
      </c>
      <c r="D224">
        <v>2</v>
      </c>
      <c r="E224" s="27">
        <v>73.02</v>
      </c>
      <c r="F224" s="28">
        <v>0</v>
      </c>
      <c r="G224" s="27">
        <v>146.04</v>
      </c>
      <c r="H224" s="27">
        <v>29.21</v>
      </c>
      <c r="I224" s="27">
        <v>175.25</v>
      </c>
      <c r="J224" s="29" cm="1">
        <f t="array" ref="J224">INDEX(Commandes!$B$2:$B$421,MATCH(B224,Commandes!$A$2:$A$421,0))</f>
        <v>45752</v>
      </c>
    </row>
    <row r="225" spans="1:10">
      <c r="A225" t="s">
        <v>1193</v>
      </c>
      <c r="B225" t="s">
        <v>633</v>
      </c>
      <c r="C225" t="s">
        <v>366</v>
      </c>
      <c r="D225">
        <v>1</v>
      </c>
      <c r="E225" s="27">
        <v>1103.64</v>
      </c>
      <c r="F225" s="28">
        <v>0</v>
      </c>
      <c r="G225" s="27">
        <v>1103.64</v>
      </c>
      <c r="H225" s="27">
        <v>220.73</v>
      </c>
      <c r="I225" s="27">
        <v>1324.37</v>
      </c>
      <c r="J225" s="29" cm="1">
        <f t="array" ref="J225">INDEX(Commandes!$B$2:$B$421,MATCH(B225,Commandes!$A$2:$A$421,0))</f>
        <v>45366</v>
      </c>
    </row>
    <row r="226" spans="1:10">
      <c r="A226" t="s">
        <v>1194</v>
      </c>
      <c r="B226" t="s">
        <v>633</v>
      </c>
      <c r="C226" t="s">
        <v>471</v>
      </c>
      <c r="D226">
        <v>1</v>
      </c>
      <c r="E226" s="27">
        <v>35.83</v>
      </c>
      <c r="F226" s="28">
        <v>0.05</v>
      </c>
      <c r="G226" s="27">
        <v>34.04</v>
      </c>
      <c r="H226" s="27">
        <v>6.81</v>
      </c>
      <c r="I226" s="27">
        <v>40.85</v>
      </c>
      <c r="J226" s="29" cm="1">
        <f t="array" ref="J226">INDEX(Commandes!$B$2:$B$421,MATCH(B226,Commandes!$A$2:$A$421,0))</f>
        <v>45366</v>
      </c>
    </row>
    <row r="227" spans="1:10">
      <c r="A227" t="s">
        <v>1195</v>
      </c>
      <c r="B227" t="s">
        <v>633</v>
      </c>
      <c r="C227" t="s">
        <v>404</v>
      </c>
      <c r="D227">
        <v>2</v>
      </c>
      <c r="E227" s="27">
        <v>30.09</v>
      </c>
      <c r="F227" s="28">
        <v>0.15</v>
      </c>
      <c r="G227" s="27">
        <v>51.15</v>
      </c>
      <c r="H227" s="27">
        <v>10.23</v>
      </c>
      <c r="I227" s="27">
        <v>61.38</v>
      </c>
      <c r="J227" s="29" cm="1">
        <f t="array" ref="J227">INDEX(Commandes!$B$2:$B$421,MATCH(B227,Commandes!$A$2:$A$421,0))</f>
        <v>45366</v>
      </c>
    </row>
    <row r="228" spans="1:10">
      <c r="A228" t="s">
        <v>1196</v>
      </c>
      <c r="B228" t="s">
        <v>633</v>
      </c>
      <c r="C228" t="s">
        <v>400</v>
      </c>
      <c r="D228">
        <v>1</v>
      </c>
      <c r="E228" s="27">
        <v>328.03</v>
      </c>
      <c r="F228" s="28">
        <v>0</v>
      </c>
      <c r="G228" s="27">
        <v>328.03</v>
      </c>
      <c r="H228" s="27">
        <v>65.61</v>
      </c>
      <c r="I228" s="27">
        <v>393.64</v>
      </c>
      <c r="J228" s="29" cm="1">
        <f t="array" ref="J228">INDEX(Commandes!$B$2:$B$421,MATCH(B228,Commandes!$A$2:$A$421,0))</f>
        <v>45366</v>
      </c>
    </row>
    <row r="229" spans="1:10">
      <c r="A229" t="s">
        <v>1197</v>
      </c>
      <c r="B229" t="s">
        <v>633</v>
      </c>
      <c r="C229" t="s">
        <v>446</v>
      </c>
      <c r="D229">
        <v>1</v>
      </c>
      <c r="E229" s="27">
        <v>454.43</v>
      </c>
      <c r="F229" s="28">
        <v>0</v>
      </c>
      <c r="G229" s="27">
        <v>454.43</v>
      </c>
      <c r="H229" s="27">
        <v>90.89</v>
      </c>
      <c r="I229" s="27">
        <v>545.32</v>
      </c>
      <c r="J229" s="29" cm="1">
        <f t="array" ref="J229">INDEX(Commandes!$B$2:$B$421,MATCH(B229,Commandes!$A$2:$A$421,0))</f>
        <v>45366</v>
      </c>
    </row>
    <row r="230" spans="1:10">
      <c r="A230" t="s">
        <v>1198</v>
      </c>
      <c r="B230" t="s">
        <v>634</v>
      </c>
      <c r="C230" t="s">
        <v>469</v>
      </c>
      <c r="D230">
        <v>2</v>
      </c>
      <c r="E230" s="27">
        <v>30.71</v>
      </c>
      <c r="F230" s="28">
        <v>0</v>
      </c>
      <c r="G230" s="27">
        <v>61.42</v>
      </c>
      <c r="H230" s="27">
        <v>12.28</v>
      </c>
      <c r="I230" s="27">
        <v>73.7</v>
      </c>
      <c r="J230" s="29" cm="1">
        <f t="array" ref="J230">INDEX(Commandes!$B$2:$B$421,MATCH(B230,Commandes!$A$2:$A$421,0))</f>
        <v>45681</v>
      </c>
    </row>
    <row r="231" spans="1:10">
      <c r="A231" t="s">
        <v>1199</v>
      </c>
      <c r="B231" t="s">
        <v>634</v>
      </c>
      <c r="C231" t="s">
        <v>400</v>
      </c>
      <c r="D231">
        <v>1</v>
      </c>
      <c r="E231" s="27">
        <v>328.03</v>
      </c>
      <c r="F231" s="28">
        <v>0.05</v>
      </c>
      <c r="G231" s="27">
        <v>311.63</v>
      </c>
      <c r="H231" s="27">
        <v>62.33</v>
      </c>
      <c r="I231" s="27">
        <v>373.96</v>
      </c>
      <c r="J231" s="29" cm="1">
        <f t="array" ref="J231">INDEX(Commandes!$B$2:$B$421,MATCH(B231,Commandes!$A$2:$A$421,0))</f>
        <v>45681</v>
      </c>
    </row>
    <row r="232" spans="1:10">
      <c r="A232" t="s">
        <v>1200</v>
      </c>
      <c r="B232" t="s">
        <v>635</v>
      </c>
      <c r="C232" t="s">
        <v>417</v>
      </c>
      <c r="D232">
        <v>1</v>
      </c>
      <c r="E232" s="27">
        <v>59.79</v>
      </c>
      <c r="F232" s="28">
        <v>0.1</v>
      </c>
      <c r="G232" s="27">
        <v>53.81</v>
      </c>
      <c r="H232" s="27">
        <v>10.76</v>
      </c>
      <c r="I232" s="27">
        <v>64.57</v>
      </c>
      <c r="J232" s="29" cm="1">
        <f t="array" ref="J232">INDEX(Commandes!$B$2:$B$421,MATCH(B232,Commandes!$A$2:$A$421,0))</f>
        <v>45338</v>
      </c>
    </row>
    <row r="233" spans="1:10">
      <c r="A233" t="s">
        <v>1201</v>
      </c>
      <c r="B233" t="s">
        <v>636</v>
      </c>
      <c r="C233" t="s">
        <v>469</v>
      </c>
      <c r="D233">
        <v>3</v>
      </c>
      <c r="E233" s="27">
        <v>30.71</v>
      </c>
      <c r="F233" s="28">
        <v>0</v>
      </c>
      <c r="G233" s="27">
        <v>92.13</v>
      </c>
      <c r="H233" s="27">
        <v>18.43</v>
      </c>
      <c r="I233" s="27">
        <v>110.56</v>
      </c>
      <c r="J233" s="29" cm="1">
        <f t="array" ref="J233">INDEX(Commandes!$B$2:$B$421,MATCH(B233,Commandes!$A$2:$A$421,0))</f>
        <v>45543</v>
      </c>
    </row>
    <row r="234" spans="1:10">
      <c r="A234" t="s">
        <v>1202</v>
      </c>
      <c r="B234" t="s">
        <v>636</v>
      </c>
      <c r="C234" t="s">
        <v>389</v>
      </c>
      <c r="D234">
        <v>3</v>
      </c>
      <c r="E234" s="27">
        <v>120.37</v>
      </c>
      <c r="F234" s="28">
        <v>0.05</v>
      </c>
      <c r="G234" s="27">
        <v>343.05</v>
      </c>
      <c r="H234" s="27">
        <v>68.61</v>
      </c>
      <c r="I234" s="27">
        <v>411.66</v>
      </c>
      <c r="J234" s="29" cm="1">
        <f t="array" ref="J234">INDEX(Commandes!$B$2:$B$421,MATCH(B234,Commandes!$A$2:$A$421,0))</f>
        <v>45543</v>
      </c>
    </row>
    <row r="235" spans="1:10">
      <c r="A235" t="s">
        <v>1203</v>
      </c>
      <c r="B235" t="s">
        <v>637</v>
      </c>
      <c r="C235" t="s">
        <v>427</v>
      </c>
      <c r="D235">
        <v>1</v>
      </c>
      <c r="E235" s="27">
        <v>25.25</v>
      </c>
      <c r="F235" s="28">
        <v>0.15</v>
      </c>
      <c r="G235" s="27">
        <v>21.46</v>
      </c>
      <c r="H235" s="27">
        <v>4.29</v>
      </c>
      <c r="I235" s="27">
        <v>25.75</v>
      </c>
      <c r="J235" s="29" cm="1">
        <f t="array" ref="J235">INDEX(Commandes!$B$2:$B$421,MATCH(B235,Commandes!$A$2:$A$421,0))</f>
        <v>45480</v>
      </c>
    </row>
    <row r="236" spans="1:10">
      <c r="A236" t="s">
        <v>1204</v>
      </c>
      <c r="B236" t="s">
        <v>637</v>
      </c>
      <c r="C236" t="s">
        <v>402</v>
      </c>
      <c r="D236">
        <v>1</v>
      </c>
      <c r="E236" s="27">
        <v>26.57</v>
      </c>
      <c r="F236" s="28">
        <v>0</v>
      </c>
      <c r="G236" s="27">
        <v>26.57</v>
      </c>
      <c r="H236" s="27">
        <v>5.31</v>
      </c>
      <c r="I236" s="27">
        <v>31.88</v>
      </c>
      <c r="J236" s="29" cm="1">
        <f t="array" ref="J236">INDEX(Commandes!$B$2:$B$421,MATCH(B236,Commandes!$A$2:$A$421,0))</f>
        <v>45480</v>
      </c>
    </row>
    <row r="237" spans="1:10">
      <c r="A237" t="s">
        <v>1205</v>
      </c>
      <c r="B237" t="s">
        <v>637</v>
      </c>
      <c r="C237" t="s">
        <v>366</v>
      </c>
      <c r="D237">
        <v>1</v>
      </c>
      <c r="E237" s="27">
        <v>1103.64</v>
      </c>
      <c r="F237" s="28">
        <v>0.05</v>
      </c>
      <c r="G237" s="27">
        <v>1048.46</v>
      </c>
      <c r="H237" s="27">
        <v>209.69</v>
      </c>
      <c r="I237" s="27">
        <v>1258.15</v>
      </c>
      <c r="J237" s="29" cm="1">
        <f t="array" ref="J237">INDEX(Commandes!$B$2:$B$421,MATCH(B237,Commandes!$A$2:$A$421,0))</f>
        <v>45480</v>
      </c>
    </row>
    <row r="238" spans="1:10">
      <c r="A238" t="s">
        <v>1206</v>
      </c>
      <c r="B238" t="s">
        <v>638</v>
      </c>
      <c r="C238" t="s">
        <v>427</v>
      </c>
      <c r="D238">
        <v>1</v>
      </c>
      <c r="E238" s="27">
        <v>25.25</v>
      </c>
      <c r="F238" s="28">
        <v>0.1</v>
      </c>
      <c r="G238" s="27">
        <v>22.73</v>
      </c>
      <c r="H238" s="27">
        <v>4.55</v>
      </c>
      <c r="I238" s="27">
        <v>27.28</v>
      </c>
      <c r="J238" s="29" cm="1">
        <f t="array" ref="J238">INDEX(Commandes!$B$2:$B$421,MATCH(B238,Commandes!$A$2:$A$421,0))</f>
        <v>45674</v>
      </c>
    </row>
    <row r="239" spans="1:10">
      <c r="A239" t="s">
        <v>1207</v>
      </c>
      <c r="B239" t="s">
        <v>638</v>
      </c>
      <c r="C239" t="s">
        <v>469</v>
      </c>
      <c r="D239">
        <v>1</v>
      </c>
      <c r="E239" s="27">
        <v>30.71</v>
      </c>
      <c r="F239" s="28">
        <v>0</v>
      </c>
      <c r="G239" s="27">
        <v>30.71</v>
      </c>
      <c r="H239" s="27">
        <v>6.14</v>
      </c>
      <c r="I239" s="27">
        <v>36.85</v>
      </c>
      <c r="J239" s="29" cm="1">
        <f t="array" ref="J239">INDEX(Commandes!$B$2:$B$421,MATCH(B239,Commandes!$A$2:$A$421,0))</f>
        <v>45674</v>
      </c>
    </row>
    <row r="240" spans="1:10">
      <c r="A240" t="s">
        <v>1208</v>
      </c>
      <c r="B240" t="s">
        <v>639</v>
      </c>
      <c r="C240" t="s">
        <v>454</v>
      </c>
      <c r="D240">
        <v>2</v>
      </c>
      <c r="E240" s="27">
        <v>375.86</v>
      </c>
      <c r="F240" s="28">
        <v>0</v>
      </c>
      <c r="G240" s="27">
        <v>751.72</v>
      </c>
      <c r="H240" s="27">
        <v>150.34</v>
      </c>
      <c r="I240" s="27">
        <v>902.06</v>
      </c>
      <c r="J240" s="29" cm="1">
        <f t="array" ref="J240">INDEX(Commandes!$B$2:$B$421,MATCH(B240,Commandes!$A$2:$A$421,0))</f>
        <v>45309</v>
      </c>
    </row>
    <row r="241" spans="1:10">
      <c r="A241" t="s">
        <v>1209</v>
      </c>
      <c r="B241" t="s">
        <v>640</v>
      </c>
      <c r="C241" t="s">
        <v>465</v>
      </c>
      <c r="D241">
        <v>1</v>
      </c>
      <c r="E241" s="27">
        <v>44.16</v>
      </c>
      <c r="F241" s="28">
        <v>0.15</v>
      </c>
      <c r="G241" s="27">
        <v>37.54</v>
      </c>
      <c r="H241" s="27">
        <v>7.51</v>
      </c>
      <c r="I241" s="27">
        <v>45.05</v>
      </c>
      <c r="J241" s="29" cm="1">
        <f t="array" ref="J241">INDEX(Commandes!$B$2:$B$421,MATCH(B241,Commandes!$A$2:$A$421,0))</f>
        <v>45565</v>
      </c>
    </row>
    <row r="242" spans="1:10">
      <c r="A242" t="s">
        <v>1210</v>
      </c>
      <c r="B242" t="s">
        <v>640</v>
      </c>
      <c r="C242" t="s">
        <v>380</v>
      </c>
      <c r="D242">
        <v>2</v>
      </c>
      <c r="E242" s="27">
        <v>80.3</v>
      </c>
      <c r="F242" s="28">
        <v>0.15</v>
      </c>
      <c r="G242" s="27">
        <v>136.51</v>
      </c>
      <c r="H242" s="27">
        <v>27.3</v>
      </c>
      <c r="I242" s="27">
        <v>163.81</v>
      </c>
      <c r="J242" s="29" cm="1">
        <f t="array" ref="J242">INDEX(Commandes!$B$2:$B$421,MATCH(B242,Commandes!$A$2:$A$421,0))</f>
        <v>45565</v>
      </c>
    </row>
    <row r="243" spans="1:10">
      <c r="A243" t="s">
        <v>1211</v>
      </c>
      <c r="B243" t="s">
        <v>641</v>
      </c>
      <c r="C243" t="s">
        <v>465</v>
      </c>
      <c r="D243">
        <v>1</v>
      </c>
      <c r="E243" s="27">
        <v>44.16</v>
      </c>
      <c r="F243" s="28">
        <v>0.05</v>
      </c>
      <c r="G243" s="27">
        <v>41.95</v>
      </c>
      <c r="H243" s="27">
        <v>8.39</v>
      </c>
      <c r="I243" s="27">
        <v>50.34</v>
      </c>
      <c r="J243" s="29" cm="1">
        <f t="array" ref="J243">INDEX(Commandes!$B$2:$B$421,MATCH(B243,Commandes!$A$2:$A$421,0))</f>
        <v>45324</v>
      </c>
    </row>
    <row r="244" spans="1:10">
      <c r="A244" t="s">
        <v>1212</v>
      </c>
      <c r="B244" t="s">
        <v>641</v>
      </c>
      <c r="C244" t="s">
        <v>429</v>
      </c>
      <c r="D244">
        <v>2</v>
      </c>
      <c r="E244" s="27">
        <v>32.75</v>
      </c>
      <c r="F244" s="28">
        <v>0</v>
      </c>
      <c r="G244" s="27">
        <v>65.5</v>
      </c>
      <c r="H244" s="27">
        <v>13.1</v>
      </c>
      <c r="I244" s="27">
        <v>78.6</v>
      </c>
      <c r="J244" s="29" cm="1">
        <f t="array" ref="J244">INDEX(Commandes!$B$2:$B$421,MATCH(B244,Commandes!$A$2:$A$421,0))</f>
        <v>45324</v>
      </c>
    </row>
    <row r="245" spans="1:10">
      <c r="A245" t="s">
        <v>1213</v>
      </c>
      <c r="B245" t="s">
        <v>642</v>
      </c>
      <c r="C245" t="s">
        <v>377</v>
      </c>
      <c r="D245">
        <v>2</v>
      </c>
      <c r="E245" s="27">
        <v>84.94</v>
      </c>
      <c r="F245" s="28">
        <v>0</v>
      </c>
      <c r="G245" s="27">
        <v>169.88</v>
      </c>
      <c r="H245" s="27">
        <v>33.98</v>
      </c>
      <c r="I245" s="27">
        <v>203.86</v>
      </c>
      <c r="J245" s="29" cm="1">
        <f t="array" ref="J245">INDEX(Commandes!$B$2:$B$421,MATCH(B245,Commandes!$A$2:$A$421,0))</f>
        <v>45871</v>
      </c>
    </row>
    <row r="246" spans="1:10">
      <c r="A246" t="s">
        <v>1214</v>
      </c>
      <c r="B246" t="s">
        <v>643</v>
      </c>
      <c r="C246" t="s">
        <v>450</v>
      </c>
      <c r="D246">
        <v>1</v>
      </c>
      <c r="E246" s="27">
        <v>538.29</v>
      </c>
      <c r="F246" s="28">
        <v>0.15</v>
      </c>
      <c r="G246" s="27">
        <v>457.55</v>
      </c>
      <c r="H246" s="27">
        <v>91.51</v>
      </c>
      <c r="I246" s="27">
        <v>549.06</v>
      </c>
      <c r="J246" s="29" cm="1">
        <f t="array" ref="J246">INDEX(Commandes!$B$2:$B$421,MATCH(B246,Commandes!$A$2:$A$421,0))</f>
        <v>45848</v>
      </c>
    </row>
    <row r="247" spans="1:10">
      <c r="A247" t="s">
        <v>1215</v>
      </c>
      <c r="B247" t="s">
        <v>643</v>
      </c>
      <c r="C247" t="s">
        <v>425</v>
      </c>
      <c r="D247">
        <v>5</v>
      </c>
      <c r="E247" s="27">
        <v>36.08</v>
      </c>
      <c r="F247" s="28">
        <v>0</v>
      </c>
      <c r="G247" s="27">
        <v>180.4</v>
      </c>
      <c r="H247" s="27">
        <v>36.08</v>
      </c>
      <c r="I247" s="27">
        <v>216.48</v>
      </c>
      <c r="J247" s="29" cm="1">
        <f t="array" ref="J247">INDEX(Commandes!$B$2:$B$421,MATCH(B247,Commandes!$A$2:$A$421,0))</f>
        <v>45848</v>
      </c>
    </row>
    <row r="248" spans="1:10">
      <c r="A248" t="s">
        <v>1216</v>
      </c>
      <c r="B248" t="s">
        <v>643</v>
      </c>
      <c r="C248" t="s">
        <v>393</v>
      </c>
      <c r="D248">
        <v>2</v>
      </c>
      <c r="E248" s="27">
        <v>196.18</v>
      </c>
      <c r="F248" s="28">
        <v>0.1</v>
      </c>
      <c r="G248" s="27">
        <v>353.12</v>
      </c>
      <c r="H248" s="27">
        <v>70.62</v>
      </c>
      <c r="I248" s="27">
        <v>423.74</v>
      </c>
      <c r="J248" s="29" cm="1">
        <f t="array" ref="J248">INDEX(Commandes!$B$2:$B$421,MATCH(B248,Commandes!$A$2:$A$421,0))</f>
        <v>45848</v>
      </c>
    </row>
    <row r="249" spans="1:10">
      <c r="A249" t="s">
        <v>1217</v>
      </c>
      <c r="B249" t="s">
        <v>643</v>
      </c>
      <c r="C249" t="s">
        <v>423</v>
      </c>
      <c r="D249">
        <v>2</v>
      </c>
      <c r="E249" s="27">
        <v>46.02</v>
      </c>
      <c r="F249" s="28">
        <v>0.1</v>
      </c>
      <c r="G249" s="27">
        <v>82.84</v>
      </c>
      <c r="H249" s="27">
        <v>16.57</v>
      </c>
      <c r="I249" s="27">
        <v>99.41</v>
      </c>
      <c r="J249" s="29" cm="1">
        <f t="array" ref="J249">INDEX(Commandes!$B$2:$B$421,MATCH(B249,Commandes!$A$2:$A$421,0))</f>
        <v>45848</v>
      </c>
    </row>
    <row r="250" spans="1:10">
      <c r="A250" t="s">
        <v>1218</v>
      </c>
      <c r="B250" t="s">
        <v>643</v>
      </c>
      <c r="C250" t="s">
        <v>417</v>
      </c>
      <c r="D250">
        <v>1</v>
      </c>
      <c r="E250" s="27">
        <v>59.79</v>
      </c>
      <c r="F250" s="28">
        <v>0.15</v>
      </c>
      <c r="G250" s="27">
        <v>50.82</v>
      </c>
      <c r="H250" s="27">
        <v>10.16</v>
      </c>
      <c r="I250" s="27">
        <v>60.98</v>
      </c>
      <c r="J250" s="29" cm="1">
        <f t="array" ref="J250">INDEX(Commandes!$B$2:$B$421,MATCH(B250,Commandes!$A$2:$A$421,0))</f>
        <v>45848</v>
      </c>
    </row>
    <row r="251" spans="1:10">
      <c r="A251" t="s">
        <v>1219</v>
      </c>
      <c r="B251" t="s">
        <v>644</v>
      </c>
      <c r="C251" t="s">
        <v>417</v>
      </c>
      <c r="D251">
        <v>2</v>
      </c>
      <c r="E251" s="27">
        <v>59.79</v>
      </c>
      <c r="F251" s="28">
        <v>0.1</v>
      </c>
      <c r="G251" s="27">
        <v>107.62</v>
      </c>
      <c r="H251" s="27">
        <v>21.52</v>
      </c>
      <c r="I251" s="27">
        <v>129.14</v>
      </c>
      <c r="J251" s="29" cm="1">
        <f t="array" ref="J251">INDEX(Commandes!$B$2:$B$421,MATCH(B251,Commandes!$A$2:$A$421,0))</f>
        <v>45435</v>
      </c>
    </row>
    <row r="252" spans="1:10">
      <c r="A252" t="s">
        <v>1220</v>
      </c>
      <c r="B252" t="s">
        <v>644</v>
      </c>
      <c r="C252" t="s">
        <v>452</v>
      </c>
      <c r="D252">
        <v>1</v>
      </c>
      <c r="E252" s="27">
        <v>381.57</v>
      </c>
      <c r="F252" s="28">
        <v>0</v>
      </c>
      <c r="G252" s="27">
        <v>381.57</v>
      </c>
      <c r="H252" s="27">
        <v>76.31</v>
      </c>
      <c r="I252" s="27">
        <v>457.88</v>
      </c>
      <c r="J252" s="29" cm="1">
        <f t="array" ref="J252">INDEX(Commandes!$B$2:$B$421,MATCH(B252,Commandes!$A$2:$A$421,0))</f>
        <v>45435</v>
      </c>
    </row>
    <row r="253" spans="1:10">
      <c r="A253" t="s">
        <v>1221</v>
      </c>
      <c r="B253" t="s">
        <v>644</v>
      </c>
      <c r="C253" t="s">
        <v>370</v>
      </c>
      <c r="D253">
        <v>2</v>
      </c>
      <c r="E253" s="27">
        <v>970.58</v>
      </c>
      <c r="F253" s="28">
        <v>0.05</v>
      </c>
      <c r="G253" s="27">
        <v>1844.1</v>
      </c>
      <c r="H253" s="27">
        <v>368.82</v>
      </c>
      <c r="I253" s="27">
        <v>2212.92</v>
      </c>
      <c r="J253" s="29" cm="1">
        <f t="array" ref="J253">INDEX(Commandes!$B$2:$B$421,MATCH(B253,Commandes!$A$2:$A$421,0))</f>
        <v>45435</v>
      </c>
    </row>
    <row r="254" spans="1:10">
      <c r="A254" t="s">
        <v>1222</v>
      </c>
      <c r="B254" t="s">
        <v>645</v>
      </c>
      <c r="C254" t="s">
        <v>410</v>
      </c>
      <c r="D254">
        <v>3</v>
      </c>
      <c r="E254" s="27">
        <v>106.93</v>
      </c>
      <c r="F254" s="28">
        <v>0.15</v>
      </c>
      <c r="G254" s="27">
        <v>272.67</v>
      </c>
      <c r="H254" s="27">
        <v>54.53</v>
      </c>
      <c r="I254" s="27">
        <v>327.2</v>
      </c>
      <c r="J254" s="29" cm="1">
        <f t="array" ref="J254">INDEX(Commandes!$B$2:$B$421,MATCH(B254,Commandes!$A$2:$A$421,0))</f>
        <v>45794</v>
      </c>
    </row>
    <row r="255" spans="1:10">
      <c r="A255" t="s">
        <v>1223</v>
      </c>
      <c r="B255" t="s">
        <v>645</v>
      </c>
      <c r="C255" t="s">
        <v>377</v>
      </c>
      <c r="D255">
        <v>1</v>
      </c>
      <c r="E255" s="27">
        <v>84.94</v>
      </c>
      <c r="F255" s="28">
        <v>0</v>
      </c>
      <c r="G255" s="27">
        <v>84.94</v>
      </c>
      <c r="H255" s="27">
        <v>16.99</v>
      </c>
      <c r="I255" s="27">
        <v>101.93</v>
      </c>
      <c r="J255" s="29" cm="1">
        <f t="array" ref="J255">INDEX(Commandes!$B$2:$B$421,MATCH(B255,Commandes!$A$2:$A$421,0))</f>
        <v>45794</v>
      </c>
    </row>
    <row r="256" spans="1:10">
      <c r="A256" t="s">
        <v>1224</v>
      </c>
      <c r="B256" t="s">
        <v>645</v>
      </c>
      <c r="C256" t="s">
        <v>423</v>
      </c>
      <c r="D256">
        <v>3</v>
      </c>
      <c r="E256" s="27">
        <v>46.02</v>
      </c>
      <c r="F256" s="28">
        <v>0.15</v>
      </c>
      <c r="G256" s="27">
        <v>117.35</v>
      </c>
      <c r="H256" s="27">
        <v>23.47</v>
      </c>
      <c r="I256" s="27">
        <v>140.82</v>
      </c>
      <c r="J256" s="29" cm="1">
        <f t="array" ref="J256">INDEX(Commandes!$B$2:$B$421,MATCH(B256,Commandes!$A$2:$A$421,0))</f>
        <v>45794</v>
      </c>
    </row>
    <row r="257" spans="1:10">
      <c r="A257" t="s">
        <v>1225</v>
      </c>
      <c r="B257" t="s">
        <v>646</v>
      </c>
      <c r="C257" t="s">
        <v>431</v>
      </c>
      <c r="D257">
        <v>1</v>
      </c>
      <c r="E257" s="27">
        <v>47.74</v>
      </c>
      <c r="F257" s="28">
        <v>0</v>
      </c>
      <c r="G257" s="27">
        <v>47.74</v>
      </c>
      <c r="H257" s="27">
        <v>9.55</v>
      </c>
      <c r="I257" s="27">
        <v>57.29</v>
      </c>
      <c r="J257" s="29" cm="1">
        <f t="array" ref="J257">INDEX(Commandes!$B$2:$B$421,MATCH(B257,Commandes!$A$2:$A$421,0))</f>
        <v>45449</v>
      </c>
    </row>
    <row r="258" spans="1:10">
      <c r="A258" t="s">
        <v>1226</v>
      </c>
      <c r="B258" t="s">
        <v>646</v>
      </c>
      <c r="C258" t="s">
        <v>383</v>
      </c>
      <c r="D258">
        <v>1</v>
      </c>
      <c r="E258" s="27">
        <v>39.08</v>
      </c>
      <c r="F258" s="28">
        <v>0</v>
      </c>
      <c r="G258" s="27">
        <v>39.08</v>
      </c>
      <c r="H258" s="27">
        <v>7.82</v>
      </c>
      <c r="I258" s="27">
        <v>46.9</v>
      </c>
      <c r="J258" s="29" cm="1">
        <f t="array" ref="J258">INDEX(Commandes!$B$2:$B$421,MATCH(B258,Commandes!$A$2:$A$421,0))</f>
        <v>45449</v>
      </c>
    </row>
    <row r="259" spans="1:10">
      <c r="A259" t="s">
        <v>1227</v>
      </c>
      <c r="B259" t="s">
        <v>646</v>
      </c>
      <c r="C259" t="s">
        <v>429</v>
      </c>
      <c r="D259">
        <v>1</v>
      </c>
      <c r="E259" s="27">
        <v>32.75</v>
      </c>
      <c r="F259" s="28">
        <v>0.1</v>
      </c>
      <c r="G259" s="27">
        <v>29.48</v>
      </c>
      <c r="H259" s="27">
        <v>5.9</v>
      </c>
      <c r="I259" s="27">
        <v>35.38</v>
      </c>
      <c r="J259" s="29" cm="1">
        <f t="array" ref="J259">INDEX(Commandes!$B$2:$B$421,MATCH(B259,Commandes!$A$2:$A$421,0))</f>
        <v>45449</v>
      </c>
    </row>
    <row r="260" spans="1:10">
      <c r="A260" t="s">
        <v>1228</v>
      </c>
      <c r="B260" t="s">
        <v>646</v>
      </c>
      <c r="C260" t="s">
        <v>440</v>
      </c>
      <c r="D260">
        <v>1</v>
      </c>
      <c r="E260" s="27">
        <v>391.34</v>
      </c>
      <c r="F260" s="28">
        <v>0</v>
      </c>
      <c r="G260" s="27">
        <v>391.34</v>
      </c>
      <c r="H260" s="27">
        <v>78.27</v>
      </c>
      <c r="I260" s="27">
        <v>469.61</v>
      </c>
      <c r="J260" s="29" cm="1">
        <f t="array" ref="J260">INDEX(Commandes!$B$2:$B$421,MATCH(B260,Commandes!$A$2:$A$421,0))</f>
        <v>45449</v>
      </c>
    </row>
    <row r="261" spans="1:10">
      <c r="A261" t="s">
        <v>1229</v>
      </c>
      <c r="B261" t="s">
        <v>647</v>
      </c>
      <c r="C261" t="s">
        <v>427</v>
      </c>
      <c r="D261">
        <v>1</v>
      </c>
      <c r="E261" s="27">
        <v>25.25</v>
      </c>
      <c r="F261" s="28">
        <v>0</v>
      </c>
      <c r="G261" s="27">
        <v>25.25</v>
      </c>
      <c r="H261" s="27">
        <v>5.05</v>
      </c>
      <c r="I261" s="27">
        <v>30.3</v>
      </c>
      <c r="J261" s="29" cm="1">
        <f t="array" ref="J261">INDEX(Commandes!$B$2:$B$421,MATCH(B261,Commandes!$A$2:$A$421,0))</f>
        <v>45383</v>
      </c>
    </row>
    <row r="262" spans="1:10">
      <c r="A262" t="s">
        <v>1230</v>
      </c>
      <c r="B262" t="s">
        <v>648</v>
      </c>
      <c r="C262" t="s">
        <v>408</v>
      </c>
      <c r="D262">
        <v>2</v>
      </c>
      <c r="E262" s="27">
        <v>19.65</v>
      </c>
      <c r="F262" s="28">
        <v>0</v>
      </c>
      <c r="G262" s="27">
        <v>39.3</v>
      </c>
      <c r="H262" s="27">
        <v>7.86</v>
      </c>
      <c r="I262" s="27">
        <v>47.16</v>
      </c>
      <c r="J262" s="29" cm="1">
        <f t="array" ref="J262">INDEX(Commandes!$B$2:$B$421,MATCH(B262,Commandes!$A$2:$A$421,0))</f>
        <v>45864</v>
      </c>
    </row>
    <row r="263" spans="1:10">
      <c r="A263" t="s">
        <v>1231</v>
      </c>
      <c r="B263" t="s">
        <v>649</v>
      </c>
      <c r="C263" t="s">
        <v>404</v>
      </c>
      <c r="D263">
        <v>3</v>
      </c>
      <c r="E263" s="27">
        <v>30.09</v>
      </c>
      <c r="F263" s="28">
        <v>0.05</v>
      </c>
      <c r="G263" s="27">
        <v>85.76</v>
      </c>
      <c r="H263" s="27">
        <v>17.15</v>
      </c>
      <c r="I263" s="27">
        <v>102.91</v>
      </c>
      <c r="J263" s="29" cm="1">
        <f t="array" ref="J263">INDEX(Commandes!$B$2:$B$421,MATCH(B263,Commandes!$A$2:$A$421,0))</f>
        <v>45463</v>
      </c>
    </row>
    <row r="264" spans="1:10">
      <c r="A264" t="s">
        <v>1232</v>
      </c>
      <c r="B264" t="s">
        <v>650</v>
      </c>
      <c r="C264" t="s">
        <v>417</v>
      </c>
      <c r="D264">
        <v>3</v>
      </c>
      <c r="E264" s="27">
        <v>59.79</v>
      </c>
      <c r="F264" s="28">
        <v>0.05</v>
      </c>
      <c r="G264" s="27">
        <v>170.4</v>
      </c>
      <c r="H264" s="27">
        <v>34.08</v>
      </c>
      <c r="I264" s="27">
        <v>204.48</v>
      </c>
      <c r="J264" s="29" cm="1">
        <f t="array" ref="J264">INDEX(Commandes!$B$2:$B$421,MATCH(B264,Commandes!$A$2:$A$421,0))</f>
        <v>45900</v>
      </c>
    </row>
    <row r="265" spans="1:10">
      <c r="A265" t="s">
        <v>1233</v>
      </c>
      <c r="B265" t="s">
        <v>650</v>
      </c>
      <c r="C265" t="s">
        <v>417</v>
      </c>
      <c r="D265">
        <v>1</v>
      </c>
      <c r="E265" s="27">
        <v>59.79</v>
      </c>
      <c r="F265" s="28">
        <v>0.05</v>
      </c>
      <c r="G265" s="27">
        <v>56.8</v>
      </c>
      <c r="H265" s="27">
        <v>11.36</v>
      </c>
      <c r="I265" s="27">
        <v>68.16</v>
      </c>
      <c r="J265" s="29" cm="1">
        <f t="array" ref="J265">INDEX(Commandes!$B$2:$B$421,MATCH(B265,Commandes!$A$2:$A$421,0))</f>
        <v>45900</v>
      </c>
    </row>
    <row r="266" spans="1:10">
      <c r="A266" t="s">
        <v>1234</v>
      </c>
      <c r="B266" t="s">
        <v>650</v>
      </c>
      <c r="C266" t="s">
        <v>459</v>
      </c>
      <c r="D266">
        <v>8</v>
      </c>
      <c r="E266" s="27">
        <v>70.8</v>
      </c>
      <c r="F266" s="28">
        <v>0</v>
      </c>
      <c r="G266" s="27">
        <v>566.4</v>
      </c>
      <c r="H266" s="27">
        <v>113.28</v>
      </c>
      <c r="I266" s="27">
        <v>679.68</v>
      </c>
      <c r="J266" s="29" cm="1">
        <f t="array" ref="J266">INDEX(Commandes!$B$2:$B$421,MATCH(B266,Commandes!$A$2:$A$421,0))</f>
        <v>45900</v>
      </c>
    </row>
    <row r="267" spans="1:10">
      <c r="A267" t="s">
        <v>1235</v>
      </c>
      <c r="B267" t="s">
        <v>650</v>
      </c>
      <c r="C267" t="s">
        <v>412</v>
      </c>
      <c r="D267">
        <v>1</v>
      </c>
      <c r="E267" s="27">
        <v>114.1</v>
      </c>
      <c r="F267" s="28">
        <v>0.15</v>
      </c>
      <c r="G267" s="27">
        <v>96.98</v>
      </c>
      <c r="H267" s="27">
        <v>19.4</v>
      </c>
      <c r="I267" s="27">
        <v>116.38</v>
      </c>
      <c r="J267" s="29" cm="1">
        <f t="array" ref="J267">INDEX(Commandes!$B$2:$B$421,MATCH(B267,Commandes!$A$2:$A$421,0))</f>
        <v>45900</v>
      </c>
    </row>
    <row r="268" spans="1:10">
      <c r="A268" t="s">
        <v>1236</v>
      </c>
      <c r="B268" t="s">
        <v>651</v>
      </c>
      <c r="C268" t="s">
        <v>456</v>
      </c>
      <c r="D268">
        <v>2</v>
      </c>
      <c r="E268" s="27">
        <v>62.13</v>
      </c>
      <c r="F268" s="28">
        <v>0.1</v>
      </c>
      <c r="G268" s="27">
        <v>111.83</v>
      </c>
      <c r="H268" s="27">
        <v>22.37</v>
      </c>
      <c r="I268" s="27">
        <v>134.2</v>
      </c>
      <c r="J268" s="29" cm="1">
        <f t="array" ref="J268">INDEX(Commandes!$B$2:$B$421,MATCH(B268,Commandes!$A$2:$A$421,0))</f>
        <v>45497</v>
      </c>
    </row>
    <row r="269" spans="1:10">
      <c r="A269" t="s">
        <v>1237</v>
      </c>
      <c r="B269" t="s">
        <v>651</v>
      </c>
      <c r="C269" t="s">
        <v>404</v>
      </c>
      <c r="D269">
        <v>1</v>
      </c>
      <c r="E269" s="27">
        <v>30.09</v>
      </c>
      <c r="F269" s="28">
        <v>0</v>
      </c>
      <c r="G269" s="27">
        <v>30.09</v>
      </c>
      <c r="H269" s="27">
        <v>6.02</v>
      </c>
      <c r="I269" s="27">
        <v>36.11</v>
      </c>
      <c r="J269" s="29" cm="1">
        <f t="array" ref="J269">INDEX(Commandes!$B$2:$B$421,MATCH(B269,Commandes!$A$2:$A$421,0))</f>
        <v>45497</v>
      </c>
    </row>
    <row r="270" spans="1:10">
      <c r="A270" t="s">
        <v>1238</v>
      </c>
      <c r="B270" t="s">
        <v>651</v>
      </c>
      <c r="C270" t="s">
        <v>425</v>
      </c>
      <c r="D270">
        <v>1</v>
      </c>
      <c r="E270" s="27">
        <v>36.08</v>
      </c>
      <c r="F270" s="28">
        <v>0.1</v>
      </c>
      <c r="G270" s="27">
        <v>32.47</v>
      </c>
      <c r="H270" s="27">
        <v>6.49</v>
      </c>
      <c r="I270" s="27">
        <v>38.96</v>
      </c>
      <c r="J270" s="29" cm="1">
        <f t="array" ref="J270">INDEX(Commandes!$B$2:$B$421,MATCH(B270,Commandes!$A$2:$A$421,0))</f>
        <v>45497</v>
      </c>
    </row>
    <row r="271" spans="1:10">
      <c r="A271" t="s">
        <v>1239</v>
      </c>
      <c r="B271" t="s">
        <v>652</v>
      </c>
      <c r="C271" t="s">
        <v>400</v>
      </c>
      <c r="D271">
        <v>1</v>
      </c>
      <c r="E271" s="27">
        <v>328.03</v>
      </c>
      <c r="F271" s="28">
        <v>0</v>
      </c>
      <c r="G271" s="27">
        <v>328.03</v>
      </c>
      <c r="H271" s="27">
        <v>65.61</v>
      </c>
      <c r="I271" s="27">
        <v>393.64</v>
      </c>
      <c r="J271" s="29" cm="1">
        <f t="array" ref="J271">INDEX(Commandes!$B$2:$B$421,MATCH(B271,Commandes!$A$2:$A$421,0))</f>
        <v>45496</v>
      </c>
    </row>
    <row r="272" spans="1:10">
      <c r="A272" t="s">
        <v>1240</v>
      </c>
      <c r="B272" t="s">
        <v>652</v>
      </c>
      <c r="C272" t="s">
        <v>465</v>
      </c>
      <c r="D272">
        <v>1</v>
      </c>
      <c r="E272" s="27">
        <v>44.16</v>
      </c>
      <c r="F272" s="28">
        <v>0.05</v>
      </c>
      <c r="G272" s="27">
        <v>41.95</v>
      </c>
      <c r="H272" s="27">
        <v>8.39</v>
      </c>
      <c r="I272" s="27">
        <v>50.34</v>
      </c>
      <c r="J272" s="29" cm="1">
        <f t="array" ref="J272">INDEX(Commandes!$B$2:$B$421,MATCH(B272,Commandes!$A$2:$A$421,0))</f>
        <v>45496</v>
      </c>
    </row>
    <row r="273" spans="1:10">
      <c r="A273" t="s">
        <v>1241</v>
      </c>
      <c r="B273" t="s">
        <v>652</v>
      </c>
      <c r="C273" t="s">
        <v>463</v>
      </c>
      <c r="D273">
        <v>2</v>
      </c>
      <c r="E273" s="27">
        <v>73.02</v>
      </c>
      <c r="F273" s="28">
        <v>0.15</v>
      </c>
      <c r="G273" s="27">
        <v>124.13</v>
      </c>
      <c r="H273" s="27">
        <v>24.83</v>
      </c>
      <c r="I273" s="27">
        <v>148.96</v>
      </c>
      <c r="J273" s="29" cm="1">
        <f t="array" ref="J273">INDEX(Commandes!$B$2:$B$421,MATCH(B273,Commandes!$A$2:$A$421,0))</f>
        <v>45496</v>
      </c>
    </row>
    <row r="274" spans="1:10">
      <c r="A274" t="s">
        <v>1242</v>
      </c>
      <c r="B274" t="s">
        <v>652</v>
      </c>
      <c r="C274" t="s">
        <v>412</v>
      </c>
      <c r="D274">
        <v>1</v>
      </c>
      <c r="E274" s="27">
        <v>114.1</v>
      </c>
      <c r="F274" s="28">
        <v>0.15</v>
      </c>
      <c r="G274" s="27">
        <v>96.98</v>
      </c>
      <c r="H274" s="27">
        <v>19.4</v>
      </c>
      <c r="I274" s="27">
        <v>116.38</v>
      </c>
      <c r="J274" s="29" cm="1">
        <f t="array" ref="J274">INDEX(Commandes!$B$2:$B$421,MATCH(B274,Commandes!$A$2:$A$421,0))</f>
        <v>45496</v>
      </c>
    </row>
    <row r="275" spans="1:10">
      <c r="A275" t="s">
        <v>1243</v>
      </c>
      <c r="B275" t="s">
        <v>653</v>
      </c>
      <c r="C275" t="s">
        <v>465</v>
      </c>
      <c r="D275">
        <v>1</v>
      </c>
      <c r="E275" s="27">
        <v>44.16</v>
      </c>
      <c r="F275" s="28">
        <v>0</v>
      </c>
      <c r="G275" s="27">
        <v>44.16</v>
      </c>
      <c r="H275" s="27">
        <v>8.83</v>
      </c>
      <c r="I275" s="27">
        <v>52.99</v>
      </c>
      <c r="J275" s="29" cm="1">
        <f t="array" ref="J275">INDEX(Commandes!$B$2:$B$421,MATCH(B275,Commandes!$A$2:$A$421,0))</f>
        <v>45449</v>
      </c>
    </row>
    <row r="276" spans="1:10">
      <c r="A276" t="s">
        <v>1244</v>
      </c>
      <c r="B276" t="s">
        <v>653</v>
      </c>
      <c r="C276" t="s">
        <v>421</v>
      </c>
      <c r="D276">
        <v>3</v>
      </c>
      <c r="E276" s="27">
        <v>78.78</v>
      </c>
      <c r="F276" s="28">
        <v>0.1</v>
      </c>
      <c r="G276" s="27">
        <v>212.71</v>
      </c>
      <c r="H276" s="27">
        <v>42.54</v>
      </c>
      <c r="I276" s="27">
        <v>255.25</v>
      </c>
      <c r="J276" s="29" cm="1">
        <f t="array" ref="J276">INDEX(Commandes!$B$2:$B$421,MATCH(B276,Commandes!$A$2:$A$421,0))</f>
        <v>45449</v>
      </c>
    </row>
    <row r="277" spans="1:10">
      <c r="A277" t="s">
        <v>1245</v>
      </c>
      <c r="B277" t="s">
        <v>654</v>
      </c>
      <c r="C277" t="s">
        <v>372</v>
      </c>
      <c r="D277">
        <v>2</v>
      </c>
      <c r="E277" s="27">
        <v>216.77</v>
      </c>
      <c r="F277" s="28">
        <v>0.15</v>
      </c>
      <c r="G277" s="27">
        <v>368.51</v>
      </c>
      <c r="H277" s="27">
        <v>73.7</v>
      </c>
      <c r="I277" s="27">
        <v>442.21</v>
      </c>
      <c r="J277" s="29" cm="1">
        <f t="array" ref="J277">INDEX(Commandes!$B$2:$B$421,MATCH(B277,Commandes!$A$2:$A$421,0))</f>
        <v>45900</v>
      </c>
    </row>
    <row r="278" spans="1:10">
      <c r="A278" t="s">
        <v>1246</v>
      </c>
      <c r="B278" t="s">
        <v>654</v>
      </c>
      <c r="C278" t="s">
        <v>463</v>
      </c>
      <c r="D278">
        <v>2</v>
      </c>
      <c r="E278" s="27">
        <v>73.02</v>
      </c>
      <c r="F278" s="28">
        <v>0</v>
      </c>
      <c r="G278" s="27">
        <v>146.04</v>
      </c>
      <c r="H278" s="27">
        <v>29.21</v>
      </c>
      <c r="I278" s="27">
        <v>175.25</v>
      </c>
      <c r="J278" s="29" cm="1">
        <f t="array" ref="J278">INDEX(Commandes!$B$2:$B$421,MATCH(B278,Commandes!$A$2:$A$421,0))</f>
        <v>45900</v>
      </c>
    </row>
    <row r="279" spans="1:10">
      <c r="A279" t="s">
        <v>1247</v>
      </c>
      <c r="B279" t="s">
        <v>655</v>
      </c>
      <c r="C279" t="s">
        <v>433</v>
      </c>
      <c r="D279">
        <v>3</v>
      </c>
      <c r="E279" s="27">
        <v>58.14</v>
      </c>
      <c r="F279" s="28">
        <v>0.1</v>
      </c>
      <c r="G279" s="27">
        <v>156.98</v>
      </c>
      <c r="H279" s="27">
        <v>31.4</v>
      </c>
      <c r="I279" s="27">
        <v>188.38</v>
      </c>
      <c r="J279" s="29" cm="1">
        <f t="array" ref="J279">INDEX(Commandes!$B$2:$B$421,MATCH(B279,Commandes!$A$2:$A$421,0))</f>
        <v>45732</v>
      </c>
    </row>
    <row r="280" spans="1:10">
      <c r="A280" t="s">
        <v>1248</v>
      </c>
      <c r="B280" t="s">
        <v>655</v>
      </c>
      <c r="C280" t="s">
        <v>465</v>
      </c>
      <c r="D280">
        <v>2</v>
      </c>
      <c r="E280" s="27">
        <v>44.16</v>
      </c>
      <c r="F280" s="28">
        <v>0</v>
      </c>
      <c r="G280" s="27">
        <v>88.32</v>
      </c>
      <c r="H280" s="27">
        <v>17.66</v>
      </c>
      <c r="I280" s="27">
        <v>105.98</v>
      </c>
      <c r="J280" s="29" cm="1">
        <f t="array" ref="J280">INDEX(Commandes!$B$2:$B$421,MATCH(B280,Commandes!$A$2:$A$421,0))</f>
        <v>45732</v>
      </c>
    </row>
    <row r="281" spans="1:10">
      <c r="A281" t="s">
        <v>1249</v>
      </c>
      <c r="B281" t="s">
        <v>656</v>
      </c>
      <c r="C281" t="s">
        <v>469</v>
      </c>
      <c r="D281">
        <v>1</v>
      </c>
      <c r="E281" s="27">
        <v>30.71</v>
      </c>
      <c r="F281" s="28">
        <v>0</v>
      </c>
      <c r="G281" s="27">
        <v>30.71</v>
      </c>
      <c r="H281" s="27">
        <v>6.14</v>
      </c>
      <c r="I281" s="27">
        <v>36.85</v>
      </c>
      <c r="J281" s="29" cm="1">
        <f t="array" ref="J281">INDEX(Commandes!$B$2:$B$421,MATCH(B281,Commandes!$A$2:$A$421,0))</f>
        <v>45317</v>
      </c>
    </row>
    <row r="282" spans="1:10">
      <c r="A282" t="s">
        <v>1250</v>
      </c>
      <c r="B282" t="s">
        <v>656</v>
      </c>
      <c r="C282" t="s">
        <v>417</v>
      </c>
      <c r="D282">
        <v>2</v>
      </c>
      <c r="E282" s="27">
        <v>59.79</v>
      </c>
      <c r="F282" s="28">
        <v>0</v>
      </c>
      <c r="G282" s="27">
        <v>119.58</v>
      </c>
      <c r="H282" s="27">
        <v>23.92</v>
      </c>
      <c r="I282" s="27">
        <v>143.5</v>
      </c>
      <c r="J282" s="29" cm="1">
        <f t="array" ref="J282">INDEX(Commandes!$B$2:$B$421,MATCH(B282,Commandes!$A$2:$A$421,0))</f>
        <v>45317</v>
      </c>
    </row>
    <row r="283" spans="1:10">
      <c r="A283" t="s">
        <v>1251</v>
      </c>
      <c r="B283" t="s">
        <v>656</v>
      </c>
      <c r="C283" t="s">
        <v>442</v>
      </c>
      <c r="D283">
        <v>2</v>
      </c>
      <c r="E283" s="27">
        <v>374.59</v>
      </c>
      <c r="F283" s="28">
        <v>0.05</v>
      </c>
      <c r="G283" s="27">
        <v>711.72</v>
      </c>
      <c r="H283" s="27">
        <v>142.34</v>
      </c>
      <c r="I283" s="27">
        <v>854.06</v>
      </c>
      <c r="J283" s="29" cm="1">
        <f t="array" ref="J283">INDEX(Commandes!$B$2:$B$421,MATCH(B283,Commandes!$A$2:$A$421,0))</f>
        <v>45317</v>
      </c>
    </row>
    <row r="284" spans="1:10">
      <c r="A284" t="s">
        <v>1252</v>
      </c>
      <c r="B284" t="s">
        <v>657</v>
      </c>
      <c r="C284" t="s">
        <v>417</v>
      </c>
      <c r="D284">
        <v>2</v>
      </c>
      <c r="E284" s="27">
        <v>59.79</v>
      </c>
      <c r="F284" s="28">
        <v>0.15</v>
      </c>
      <c r="G284" s="27">
        <v>101.64</v>
      </c>
      <c r="H284" s="27">
        <v>20.33</v>
      </c>
      <c r="I284" s="27">
        <v>121.97</v>
      </c>
      <c r="J284" s="29" cm="1">
        <f t="array" ref="J284">INDEX(Commandes!$B$2:$B$421,MATCH(B284,Commandes!$A$2:$A$421,0))</f>
        <v>45391</v>
      </c>
    </row>
    <row r="285" spans="1:10">
      <c r="A285" t="s">
        <v>1253</v>
      </c>
      <c r="B285" t="s">
        <v>658</v>
      </c>
      <c r="C285" t="s">
        <v>402</v>
      </c>
      <c r="D285">
        <v>3</v>
      </c>
      <c r="E285" s="27">
        <v>26.57</v>
      </c>
      <c r="F285" s="28">
        <v>0.15</v>
      </c>
      <c r="G285" s="27">
        <v>67.75</v>
      </c>
      <c r="H285" s="27">
        <v>13.55</v>
      </c>
      <c r="I285" s="27">
        <v>81.3</v>
      </c>
      <c r="J285" s="29" cm="1">
        <f t="array" ref="J285">INDEX(Commandes!$B$2:$B$421,MATCH(B285,Commandes!$A$2:$A$421,0))</f>
        <v>45460</v>
      </c>
    </row>
    <row r="286" spans="1:10">
      <c r="A286" t="s">
        <v>1254</v>
      </c>
      <c r="B286" t="s">
        <v>658</v>
      </c>
      <c r="C286" t="s">
        <v>396</v>
      </c>
      <c r="D286">
        <v>1</v>
      </c>
      <c r="E286" s="27">
        <v>225.64</v>
      </c>
      <c r="F286" s="28">
        <v>0.15</v>
      </c>
      <c r="G286" s="27">
        <v>191.79</v>
      </c>
      <c r="H286" s="27">
        <v>38.36</v>
      </c>
      <c r="I286" s="27">
        <v>230.15</v>
      </c>
      <c r="J286" s="29" cm="1">
        <f t="array" ref="J286">INDEX(Commandes!$B$2:$B$421,MATCH(B286,Commandes!$A$2:$A$421,0))</f>
        <v>45460</v>
      </c>
    </row>
    <row r="287" spans="1:10">
      <c r="A287" t="s">
        <v>1255</v>
      </c>
      <c r="B287" t="s">
        <v>658</v>
      </c>
      <c r="C287" t="s">
        <v>429</v>
      </c>
      <c r="D287">
        <v>1</v>
      </c>
      <c r="E287" s="27">
        <v>32.75</v>
      </c>
      <c r="F287" s="28">
        <v>0.15</v>
      </c>
      <c r="G287" s="27">
        <v>27.84</v>
      </c>
      <c r="H287" s="27">
        <v>5.57</v>
      </c>
      <c r="I287" s="27">
        <v>33.41</v>
      </c>
      <c r="J287" s="29" cm="1">
        <f t="array" ref="J287">INDEX(Commandes!$B$2:$B$421,MATCH(B287,Commandes!$A$2:$A$421,0))</f>
        <v>45460</v>
      </c>
    </row>
    <row r="288" spans="1:10">
      <c r="A288" t="s">
        <v>1256</v>
      </c>
      <c r="B288" t="s">
        <v>658</v>
      </c>
      <c r="C288" t="s">
        <v>454</v>
      </c>
      <c r="D288">
        <v>4</v>
      </c>
      <c r="E288" s="27">
        <v>375.86</v>
      </c>
      <c r="F288" s="28">
        <v>0.05</v>
      </c>
      <c r="G288" s="27">
        <v>1428.27</v>
      </c>
      <c r="H288" s="27">
        <v>285.65</v>
      </c>
      <c r="I288" s="27">
        <v>1713.92</v>
      </c>
      <c r="J288" s="29" cm="1">
        <f t="array" ref="J288">INDEX(Commandes!$B$2:$B$421,MATCH(B288,Commandes!$A$2:$A$421,0))</f>
        <v>45460</v>
      </c>
    </row>
    <row r="289" spans="1:10">
      <c r="A289" t="s">
        <v>1257</v>
      </c>
      <c r="B289" t="s">
        <v>658</v>
      </c>
      <c r="C289" t="s">
        <v>450</v>
      </c>
      <c r="D289">
        <v>1</v>
      </c>
      <c r="E289" s="27">
        <v>538.29</v>
      </c>
      <c r="F289" s="28">
        <v>0</v>
      </c>
      <c r="G289" s="27">
        <v>538.29</v>
      </c>
      <c r="H289" s="27">
        <v>107.66</v>
      </c>
      <c r="I289" s="27">
        <v>645.95</v>
      </c>
      <c r="J289" s="29" cm="1">
        <f t="array" ref="J289">INDEX(Commandes!$B$2:$B$421,MATCH(B289,Commandes!$A$2:$A$421,0))</f>
        <v>45460</v>
      </c>
    </row>
    <row r="290" spans="1:10">
      <c r="A290" t="s">
        <v>1258</v>
      </c>
      <c r="B290" t="s">
        <v>659</v>
      </c>
      <c r="C290" t="s">
        <v>444</v>
      </c>
      <c r="D290">
        <v>1</v>
      </c>
      <c r="E290" s="27">
        <v>442.3</v>
      </c>
      <c r="F290" s="28">
        <v>0</v>
      </c>
      <c r="G290" s="27">
        <v>442.3</v>
      </c>
      <c r="H290" s="27">
        <v>88.46</v>
      </c>
      <c r="I290" s="27">
        <v>530.76</v>
      </c>
      <c r="J290" s="29" cm="1">
        <f t="array" ref="J290">INDEX(Commandes!$B$2:$B$421,MATCH(B290,Commandes!$A$2:$A$421,0))</f>
        <v>46013</v>
      </c>
    </row>
    <row r="291" spans="1:10">
      <c r="A291" t="s">
        <v>1259</v>
      </c>
      <c r="B291" t="s">
        <v>659</v>
      </c>
      <c r="C291" t="s">
        <v>398</v>
      </c>
      <c r="D291">
        <v>2</v>
      </c>
      <c r="E291" s="27">
        <v>383.91</v>
      </c>
      <c r="F291" s="28">
        <v>0</v>
      </c>
      <c r="G291" s="27">
        <v>767.82</v>
      </c>
      <c r="H291" s="27">
        <v>153.56</v>
      </c>
      <c r="I291" s="27">
        <v>921.38</v>
      </c>
      <c r="J291" s="29" cm="1">
        <f t="array" ref="J291">INDEX(Commandes!$B$2:$B$421,MATCH(B291,Commandes!$A$2:$A$421,0))</f>
        <v>46013</v>
      </c>
    </row>
    <row r="292" spans="1:10">
      <c r="A292" t="s">
        <v>1260</v>
      </c>
      <c r="B292" t="s">
        <v>659</v>
      </c>
      <c r="C292" t="s">
        <v>461</v>
      </c>
      <c r="D292">
        <v>4</v>
      </c>
      <c r="E292" s="27">
        <v>59.83</v>
      </c>
      <c r="F292" s="28">
        <v>0.1</v>
      </c>
      <c r="G292" s="27">
        <v>215.39</v>
      </c>
      <c r="H292" s="27">
        <v>43.08</v>
      </c>
      <c r="I292" s="27">
        <v>258.47</v>
      </c>
      <c r="J292" s="29" cm="1">
        <f t="array" ref="J292">INDEX(Commandes!$B$2:$B$421,MATCH(B292,Commandes!$A$2:$A$421,0))</f>
        <v>46013</v>
      </c>
    </row>
    <row r="293" spans="1:10">
      <c r="A293" t="s">
        <v>1261</v>
      </c>
      <c r="B293" t="s">
        <v>660</v>
      </c>
      <c r="C293" t="s">
        <v>433</v>
      </c>
      <c r="D293">
        <v>2</v>
      </c>
      <c r="E293" s="27">
        <v>58.14</v>
      </c>
      <c r="F293" s="28">
        <v>0.15</v>
      </c>
      <c r="G293" s="27">
        <v>98.84</v>
      </c>
      <c r="H293" s="27">
        <v>19.77</v>
      </c>
      <c r="I293" s="27">
        <v>118.61</v>
      </c>
      <c r="J293" s="29" cm="1">
        <f t="array" ref="J293">INDEX(Commandes!$B$2:$B$421,MATCH(B293,Commandes!$A$2:$A$421,0))</f>
        <v>45946</v>
      </c>
    </row>
    <row r="294" spans="1:10">
      <c r="A294" t="s">
        <v>1262</v>
      </c>
      <c r="B294" t="s">
        <v>660</v>
      </c>
      <c r="C294" t="s">
        <v>467</v>
      </c>
      <c r="D294">
        <v>3</v>
      </c>
      <c r="E294" s="27">
        <v>49.53</v>
      </c>
      <c r="F294" s="28">
        <v>0.1</v>
      </c>
      <c r="G294" s="27">
        <v>133.73</v>
      </c>
      <c r="H294" s="27">
        <v>26.75</v>
      </c>
      <c r="I294" s="27">
        <v>160.48</v>
      </c>
      <c r="J294" s="29" cm="1">
        <f t="array" ref="J294">INDEX(Commandes!$B$2:$B$421,MATCH(B294,Commandes!$A$2:$A$421,0))</f>
        <v>45946</v>
      </c>
    </row>
    <row r="295" spans="1:10">
      <c r="A295" t="s">
        <v>1263</v>
      </c>
      <c r="B295" t="s">
        <v>661</v>
      </c>
      <c r="C295" t="s">
        <v>465</v>
      </c>
      <c r="D295">
        <v>1</v>
      </c>
      <c r="E295" s="27">
        <v>44.16</v>
      </c>
      <c r="F295" s="28">
        <v>0.05</v>
      </c>
      <c r="G295" s="27">
        <v>41.95</v>
      </c>
      <c r="H295" s="27">
        <v>8.39</v>
      </c>
      <c r="I295" s="27">
        <v>50.34</v>
      </c>
      <c r="J295" s="29" cm="1">
        <f t="array" ref="J295">INDEX(Commandes!$B$2:$B$421,MATCH(B295,Commandes!$A$2:$A$421,0))</f>
        <v>45896</v>
      </c>
    </row>
    <row r="296" spans="1:10">
      <c r="A296" t="s">
        <v>1264</v>
      </c>
      <c r="B296" t="s">
        <v>662</v>
      </c>
      <c r="C296" t="s">
        <v>438</v>
      </c>
      <c r="D296">
        <v>1</v>
      </c>
      <c r="E296" s="27">
        <v>295.97</v>
      </c>
      <c r="F296" s="28">
        <v>0</v>
      </c>
      <c r="G296" s="27">
        <v>295.97</v>
      </c>
      <c r="H296" s="27">
        <v>59.19</v>
      </c>
      <c r="I296" s="27">
        <v>355.16</v>
      </c>
      <c r="J296" s="29" cm="1">
        <f t="array" ref="J296">INDEX(Commandes!$B$2:$B$421,MATCH(B296,Commandes!$A$2:$A$421,0))</f>
        <v>45720</v>
      </c>
    </row>
    <row r="297" spans="1:10">
      <c r="A297" t="s">
        <v>1265</v>
      </c>
      <c r="B297" t="s">
        <v>662</v>
      </c>
      <c r="C297" t="s">
        <v>414</v>
      </c>
      <c r="D297">
        <v>3</v>
      </c>
      <c r="E297" s="27">
        <v>63.96</v>
      </c>
      <c r="F297" s="28">
        <v>0.1</v>
      </c>
      <c r="G297" s="27">
        <v>172.69</v>
      </c>
      <c r="H297" s="27">
        <v>34.54</v>
      </c>
      <c r="I297" s="27">
        <v>207.23</v>
      </c>
      <c r="J297" s="29" cm="1">
        <f t="array" ref="J297">INDEX(Commandes!$B$2:$B$421,MATCH(B297,Commandes!$A$2:$A$421,0))</f>
        <v>45720</v>
      </c>
    </row>
    <row r="298" spans="1:10">
      <c r="A298" t="s">
        <v>1266</v>
      </c>
      <c r="B298" t="s">
        <v>663</v>
      </c>
      <c r="C298" t="s">
        <v>440</v>
      </c>
      <c r="D298">
        <v>2</v>
      </c>
      <c r="E298" s="27">
        <v>391.34</v>
      </c>
      <c r="F298" s="28">
        <v>0.05</v>
      </c>
      <c r="G298" s="27">
        <v>743.55</v>
      </c>
      <c r="H298" s="27">
        <v>148.71</v>
      </c>
      <c r="I298" s="27">
        <v>892.26</v>
      </c>
      <c r="J298" s="29" cm="1">
        <f t="array" ref="J298">INDEX(Commandes!$B$2:$B$421,MATCH(B298,Commandes!$A$2:$A$421,0))</f>
        <v>45346</v>
      </c>
    </row>
    <row r="299" spans="1:10">
      <c r="A299" t="s">
        <v>1267</v>
      </c>
      <c r="B299" t="s">
        <v>663</v>
      </c>
      <c r="C299" t="s">
        <v>463</v>
      </c>
      <c r="D299">
        <v>2</v>
      </c>
      <c r="E299" s="27">
        <v>73.02</v>
      </c>
      <c r="F299" s="28">
        <v>0.15</v>
      </c>
      <c r="G299" s="27">
        <v>124.13</v>
      </c>
      <c r="H299" s="27">
        <v>24.83</v>
      </c>
      <c r="I299" s="27">
        <v>148.96</v>
      </c>
      <c r="J299" s="29" cm="1">
        <f t="array" ref="J299">INDEX(Commandes!$B$2:$B$421,MATCH(B299,Commandes!$A$2:$A$421,0))</f>
        <v>45346</v>
      </c>
    </row>
    <row r="300" spans="1:10">
      <c r="A300" t="s">
        <v>1268</v>
      </c>
      <c r="B300" t="s">
        <v>663</v>
      </c>
      <c r="C300" t="s">
        <v>431</v>
      </c>
      <c r="D300">
        <v>2</v>
      </c>
      <c r="E300" s="27">
        <v>47.74</v>
      </c>
      <c r="F300" s="28">
        <v>0</v>
      </c>
      <c r="G300" s="27">
        <v>95.48</v>
      </c>
      <c r="H300" s="27">
        <v>19.1</v>
      </c>
      <c r="I300" s="27">
        <v>114.58</v>
      </c>
      <c r="J300" s="29" cm="1">
        <f t="array" ref="J300">INDEX(Commandes!$B$2:$B$421,MATCH(B300,Commandes!$A$2:$A$421,0))</f>
        <v>45346</v>
      </c>
    </row>
    <row r="301" spans="1:10">
      <c r="A301" t="s">
        <v>1269</v>
      </c>
      <c r="B301" t="s">
        <v>663</v>
      </c>
      <c r="C301" t="s">
        <v>448</v>
      </c>
      <c r="D301">
        <v>1</v>
      </c>
      <c r="E301" s="27">
        <v>543.43</v>
      </c>
      <c r="F301" s="28">
        <v>0</v>
      </c>
      <c r="G301" s="27">
        <v>543.43</v>
      </c>
      <c r="H301" s="27">
        <v>108.69</v>
      </c>
      <c r="I301" s="27">
        <v>652.12</v>
      </c>
      <c r="J301" s="29" cm="1">
        <f t="array" ref="J301">INDEX(Commandes!$B$2:$B$421,MATCH(B301,Commandes!$A$2:$A$421,0))</f>
        <v>45346</v>
      </c>
    </row>
    <row r="302" spans="1:10">
      <c r="A302" t="s">
        <v>1270</v>
      </c>
      <c r="B302" t="s">
        <v>663</v>
      </c>
      <c r="C302" t="s">
        <v>410</v>
      </c>
      <c r="D302">
        <v>1</v>
      </c>
      <c r="E302" s="27">
        <v>106.93</v>
      </c>
      <c r="F302" s="28">
        <v>0</v>
      </c>
      <c r="G302" s="27">
        <v>106.93</v>
      </c>
      <c r="H302" s="27">
        <v>21.39</v>
      </c>
      <c r="I302" s="27">
        <v>128.32</v>
      </c>
      <c r="J302" s="29" cm="1">
        <f t="array" ref="J302">INDEX(Commandes!$B$2:$B$421,MATCH(B302,Commandes!$A$2:$A$421,0))</f>
        <v>45346</v>
      </c>
    </row>
    <row r="303" spans="1:10">
      <c r="A303" t="s">
        <v>1271</v>
      </c>
      <c r="B303" t="s">
        <v>664</v>
      </c>
      <c r="C303" t="s">
        <v>408</v>
      </c>
      <c r="D303">
        <v>3</v>
      </c>
      <c r="E303" s="27">
        <v>19.65</v>
      </c>
      <c r="F303" s="28">
        <v>0</v>
      </c>
      <c r="G303" s="27">
        <v>58.95</v>
      </c>
      <c r="H303" s="27">
        <v>11.79</v>
      </c>
      <c r="I303" s="27">
        <v>70.74</v>
      </c>
      <c r="J303" s="29" cm="1">
        <f t="array" ref="J303">INDEX(Commandes!$B$2:$B$421,MATCH(B303,Commandes!$A$2:$A$421,0))</f>
        <v>45842</v>
      </c>
    </row>
    <row r="304" spans="1:10">
      <c r="A304" t="s">
        <v>1272</v>
      </c>
      <c r="B304" t="s">
        <v>664</v>
      </c>
      <c r="C304" t="s">
        <v>444</v>
      </c>
      <c r="D304">
        <v>3</v>
      </c>
      <c r="E304" s="27">
        <v>442.3</v>
      </c>
      <c r="F304" s="28">
        <v>0</v>
      </c>
      <c r="G304" s="27">
        <v>1326.9</v>
      </c>
      <c r="H304" s="27">
        <v>265.38</v>
      </c>
      <c r="I304" s="27">
        <v>1592.28</v>
      </c>
      <c r="J304" s="29" cm="1">
        <f t="array" ref="J304">INDEX(Commandes!$B$2:$B$421,MATCH(B304,Commandes!$A$2:$A$421,0))</f>
        <v>45842</v>
      </c>
    </row>
    <row r="305" spans="1:10">
      <c r="A305" t="s">
        <v>1273</v>
      </c>
      <c r="B305" t="s">
        <v>665</v>
      </c>
      <c r="C305" t="s">
        <v>372</v>
      </c>
      <c r="D305">
        <v>1</v>
      </c>
      <c r="E305" s="27">
        <v>216.77</v>
      </c>
      <c r="F305" s="28">
        <v>0</v>
      </c>
      <c r="G305" s="27">
        <v>216.77</v>
      </c>
      <c r="H305" s="27">
        <v>43.35</v>
      </c>
      <c r="I305" s="27">
        <v>260.12</v>
      </c>
      <c r="J305" s="29" cm="1">
        <f t="array" ref="J305">INDEX(Commandes!$B$2:$B$421,MATCH(B305,Commandes!$A$2:$A$421,0))</f>
        <v>45743</v>
      </c>
    </row>
    <row r="306" spans="1:10">
      <c r="A306" t="s">
        <v>1274</v>
      </c>
      <c r="B306" t="s">
        <v>665</v>
      </c>
      <c r="C306" t="s">
        <v>380</v>
      </c>
      <c r="D306">
        <v>1</v>
      </c>
      <c r="E306" s="27">
        <v>80.3</v>
      </c>
      <c r="F306" s="28">
        <v>0</v>
      </c>
      <c r="G306" s="27">
        <v>80.3</v>
      </c>
      <c r="H306" s="27">
        <v>16.06</v>
      </c>
      <c r="I306" s="27">
        <v>96.36</v>
      </c>
      <c r="J306" s="29" cm="1">
        <f t="array" ref="J306">INDEX(Commandes!$B$2:$B$421,MATCH(B306,Commandes!$A$2:$A$421,0))</f>
        <v>45743</v>
      </c>
    </row>
    <row r="307" spans="1:10">
      <c r="A307" t="s">
        <v>1275</v>
      </c>
      <c r="B307" t="s">
        <v>665</v>
      </c>
      <c r="C307" t="s">
        <v>475</v>
      </c>
      <c r="D307">
        <v>3</v>
      </c>
      <c r="E307" s="27">
        <v>42</v>
      </c>
      <c r="F307" s="28">
        <v>0</v>
      </c>
      <c r="G307" s="27">
        <v>126</v>
      </c>
      <c r="H307" s="27">
        <v>25.2</v>
      </c>
      <c r="I307" s="27">
        <v>151.2</v>
      </c>
      <c r="J307" s="29" cm="1">
        <f t="array" ref="J307">INDEX(Commandes!$B$2:$B$421,MATCH(B307,Commandes!$A$2:$A$421,0))</f>
        <v>45743</v>
      </c>
    </row>
    <row r="308" spans="1:10">
      <c r="A308" t="s">
        <v>1276</v>
      </c>
      <c r="B308" t="s">
        <v>665</v>
      </c>
      <c r="C308" t="s">
        <v>471</v>
      </c>
      <c r="D308">
        <v>2</v>
      </c>
      <c r="E308" s="27">
        <v>35.83</v>
      </c>
      <c r="F308" s="28">
        <v>0</v>
      </c>
      <c r="G308" s="27">
        <v>71.66</v>
      </c>
      <c r="H308" s="27">
        <v>14.33</v>
      </c>
      <c r="I308" s="27">
        <v>85.99</v>
      </c>
      <c r="J308" s="29" cm="1">
        <f t="array" ref="J308">INDEX(Commandes!$B$2:$B$421,MATCH(B308,Commandes!$A$2:$A$421,0))</f>
        <v>45743</v>
      </c>
    </row>
    <row r="309" spans="1:10">
      <c r="A309" t="s">
        <v>1277</v>
      </c>
      <c r="B309" t="s">
        <v>666</v>
      </c>
      <c r="C309" t="s">
        <v>448</v>
      </c>
      <c r="D309">
        <v>1</v>
      </c>
      <c r="E309" s="27">
        <v>543.43</v>
      </c>
      <c r="F309" s="28">
        <v>0</v>
      </c>
      <c r="G309" s="27">
        <v>543.43</v>
      </c>
      <c r="H309" s="27">
        <v>108.69</v>
      </c>
      <c r="I309" s="27">
        <v>652.12</v>
      </c>
      <c r="J309" s="29" cm="1">
        <f t="array" ref="J309">INDEX(Commandes!$B$2:$B$421,MATCH(B309,Commandes!$A$2:$A$421,0))</f>
        <v>46019</v>
      </c>
    </row>
    <row r="310" spans="1:10">
      <c r="A310" t="s">
        <v>1278</v>
      </c>
      <c r="B310" t="s">
        <v>666</v>
      </c>
      <c r="C310" t="s">
        <v>452</v>
      </c>
      <c r="D310">
        <v>2</v>
      </c>
      <c r="E310" s="27">
        <v>381.57</v>
      </c>
      <c r="F310" s="28">
        <v>0</v>
      </c>
      <c r="G310" s="27">
        <v>763.14</v>
      </c>
      <c r="H310" s="27">
        <v>152.63</v>
      </c>
      <c r="I310" s="27">
        <v>915.77</v>
      </c>
      <c r="J310" s="29" cm="1">
        <f t="array" ref="J310">INDEX(Commandes!$B$2:$B$421,MATCH(B310,Commandes!$A$2:$A$421,0))</f>
        <v>46019</v>
      </c>
    </row>
    <row r="311" spans="1:10">
      <c r="A311" t="s">
        <v>1279</v>
      </c>
      <c r="B311" t="s">
        <v>666</v>
      </c>
      <c r="C311" t="s">
        <v>467</v>
      </c>
      <c r="D311">
        <v>1</v>
      </c>
      <c r="E311" s="27">
        <v>49.53</v>
      </c>
      <c r="F311" s="28">
        <v>0.1</v>
      </c>
      <c r="G311" s="27">
        <v>44.58</v>
      </c>
      <c r="H311" s="27">
        <v>8.92</v>
      </c>
      <c r="I311" s="27">
        <v>53.5</v>
      </c>
      <c r="J311" s="29" cm="1">
        <f t="array" ref="J311">INDEX(Commandes!$B$2:$B$421,MATCH(B311,Commandes!$A$2:$A$421,0))</f>
        <v>46019</v>
      </c>
    </row>
    <row r="312" spans="1:10">
      <c r="A312" t="s">
        <v>1280</v>
      </c>
      <c r="B312" t="s">
        <v>667</v>
      </c>
      <c r="C312" t="s">
        <v>459</v>
      </c>
      <c r="D312">
        <v>1</v>
      </c>
      <c r="E312" s="27">
        <v>70.8</v>
      </c>
      <c r="F312" s="28">
        <v>0</v>
      </c>
      <c r="G312" s="27">
        <v>70.8</v>
      </c>
      <c r="H312" s="27">
        <v>14.16</v>
      </c>
      <c r="I312" s="27">
        <v>84.96</v>
      </c>
      <c r="J312" s="29" cm="1">
        <f t="array" ref="J312">INDEX(Commandes!$B$2:$B$421,MATCH(B312,Commandes!$A$2:$A$421,0))</f>
        <v>45565</v>
      </c>
    </row>
    <row r="313" spans="1:10">
      <c r="A313" t="s">
        <v>1281</v>
      </c>
      <c r="B313" t="s">
        <v>667</v>
      </c>
      <c r="C313" t="s">
        <v>404</v>
      </c>
      <c r="D313">
        <v>1</v>
      </c>
      <c r="E313" s="27">
        <v>30.09</v>
      </c>
      <c r="F313" s="28">
        <v>0</v>
      </c>
      <c r="G313" s="27">
        <v>30.09</v>
      </c>
      <c r="H313" s="27">
        <v>6.02</v>
      </c>
      <c r="I313" s="27">
        <v>36.11</v>
      </c>
      <c r="J313" s="29" cm="1">
        <f t="array" ref="J313">INDEX(Commandes!$B$2:$B$421,MATCH(B313,Commandes!$A$2:$A$421,0))</f>
        <v>45565</v>
      </c>
    </row>
    <row r="314" spans="1:10">
      <c r="A314" t="s">
        <v>1282</v>
      </c>
      <c r="B314" t="s">
        <v>667</v>
      </c>
      <c r="C314" t="s">
        <v>404</v>
      </c>
      <c r="D314">
        <v>3</v>
      </c>
      <c r="E314" s="27">
        <v>30.09</v>
      </c>
      <c r="F314" s="28">
        <v>0.15</v>
      </c>
      <c r="G314" s="27">
        <v>76.73</v>
      </c>
      <c r="H314" s="27">
        <v>15.35</v>
      </c>
      <c r="I314" s="27">
        <v>92.08</v>
      </c>
      <c r="J314" s="29" cm="1">
        <f t="array" ref="J314">INDEX(Commandes!$B$2:$B$421,MATCH(B314,Commandes!$A$2:$A$421,0))</f>
        <v>45565</v>
      </c>
    </row>
    <row r="315" spans="1:10">
      <c r="A315" t="s">
        <v>1283</v>
      </c>
      <c r="B315" t="s">
        <v>667</v>
      </c>
      <c r="C315" t="s">
        <v>425</v>
      </c>
      <c r="D315">
        <v>2</v>
      </c>
      <c r="E315" s="27">
        <v>36.08</v>
      </c>
      <c r="F315" s="28">
        <v>0.1</v>
      </c>
      <c r="G315" s="27">
        <v>64.94</v>
      </c>
      <c r="H315" s="27">
        <v>12.99</v>
      </c>
      <c r="I315" s="27">
        <v>77.93</v>
      </c>
      <c r="J315" s="29" cm="1">
        <f t="array" ref="J315">INDEX(Commandes!$B$2:$B$421,MATCH(B315,Commandes!$A$2:$A$421,0))</f>
        <v>45565</v>
      </c>
    </row>
    <row r="316" spans="1:10">
      <c r="A316" t="s">
        <v>1284</v>
      </c>
      <c r="B316" t="s">
        <v>667</v>
      </c>
      <c r="C316" t="s">
        <v>456</v>
      </c>
      <c r="D316">
        <v>1</v>
      </c>
      <c r="E316" s="27">
        <v>62.13</v>
      </c>
      <c r="F316" s="28">
        <v>0.05</v>
      </c>
      <c r="G316" s="27">
        <v>59.02</v>
      </c>
      <c r="H316" s="27">
        <v>11.8</v>
      </c>
      <c r="I316" s="27">
        <v>70.82</v>
      </c>
      <c r="J316" s="29" cm="1">
        <f t="array" ref="J316">INDEX(Commandes!$B$2:$B$421,MATCH(B316,Commandes!$A$2:$A$421,0))</f>
        <v>45565</v>
      </c>
    </row>
    <row r="317" spans="1:10">
      <c r="A317" t="s">
        <v>1285</v>
      </c>
      <c r="B317" t="s">
        <v>668</v>
      </c>
      <c r="C317" t="s">
        <v>438</v>
      </c>
      <c r="D317">
        <v>1</v>
      </c>
      <c r="E317" s="27">
        <v>295.97</v>
      </c>
      <c r="F317" s="28">
        <v>0</v>
      </c>
      <c r="G317" s="27">
        <v>295.97</v>
      </c>
      <c r="H317" s="27">
        <v>59.19</v>
      </c>
      <c r="I317" s="27">
        <v>355.16</v>
      </c>
      <c r="J317" s="29" cm="1">
        <f t="array" ref="J317">INDEX(Commandes!$B$2:$B$421,MATCH(B317,Commandes!$A$2:$A$421,0))</f>
        <v>45676</v>
      </c>
    </row>
    <row r="318" spans="1:10">
      <c r="A318" t="s">
        <v>1286</v>
      </c>
      <c r="B318" t="s">
        <v>668</v>
      </c>
      <c r="C318" t="s">
        <v>475</v>
      </c>
      <c r="D318">
        <v>3</v>
      </c>
      <c r="E318" s="27">
        <v>42</v>
      </c>
      <c r="F318" s="28">
        <v>0</v>
      </c>
      <c r="G318" s="27">
        <v>126</v>
      </c>
      <c r="H318" s="27">
        <v>25.2</v>
      </c>
      <c r="I318" s="27">
        <v>151.2</v>
      </c>
      <c r="J318" s="29" cm="1">
        <f t="array" ref="J318">INDEX(Commandes!$B$2:$B$421,MATCH(B318,Commandes!$A$2:$A$421,0))</f>
        <v>45676</v>
      </c>
    </row>
    <row r="319" spans="1:10">
      <c r="A319" t="s">
        <v>1287</v>
      </c>
      <c r="B319" t="s">
        <v>669</v>
      </c>
      <c r="C319" t="s">
        <v>400</v>
      </c>
      <c r="D319">
        <v>2</v>
      </c>
      <c r="E319" s="27">
        <v>328.03</v>
      </c>
      <c r="F319" s="28">
        <v>0</v>
      </c>
      <c r="G319" s="27">
        <v>656.06</v>
      </c>
      <c r="H319" s="27">
        <v>131.21</v>
      </c>
      <c r="I319" s="27">
        <v>787.27</v>
      </c>
      <c r="J319" s="29" cm="1">
        <f t="array" ref="J319">INDEX(Commandes!$B$2:$B$421,MATCH(B319,Commandes!$A$2:$A$421,0))</f>
        <v>45761</v>
      </c>
    </row>
    <row r="320" spans="1:10">
      <c r="A320" t="s">
        <v>1288</v>
      </c>
      <c r="B320" t="s">
        <v>669</v>
      </c>
      <c r="C320" t="s">
        <v>410</v>
      </c>
      <c r="D320">
        <v>1</v>
      </c>
      <c r="E320" s="27">
        <v>106.93</v>
      </c>
      <c r="F320" s="28">
        <v>0.1</v>
      </c>
      <c r="G320" s="27">
        <v>96.24</v>
      </c>
      <c r="H320" s="27">
        <v>19.25</v>
      </c>
      <c r="I320" s="27">
        <v>115.49</v>
      </c>
      <c r="J320" s="29" cm="1">
        <f t="array" ref="J320">INDEX(Commandes!$B$2:$B$421,MATCH(B320,Commandes!$A$2:$A$421,0))</f>
        <v>45761</v>
      </c>
    </row>
    <row r="321" spans="1:10">
      <c r="A321" t="s">
        <v>1289</v>
      </c>
      <c r="B321" t="s">
        <v>669</v>
      </c>
      <c r="C321" t="s">
        <v>389</v>
      </c>
      <c r="D321">
        <v>2</v>
      </c>
      <c r="E321" s="27">
        <v>120.37</v>
      </c>
      <c r="F321" s="28">
        <v>0.05</v>
      </c>
      <c r="G321" s="27">
        <v>228.7</v>
      </c>
      <c r="H321" s="27">
        <v>45.74</v>
      </c>
      <c r="I321" s="27">
        <v>274.44</v>
      </c>
      <c r="J321" s="29" cm="1">
        <f t="array" ref="J321">INDEX(Commandes!$B$2:$B$421,MATCH(B321,Commandes!$A$2:$A$421,0))</f>
        <v>45761</v>
      </c>
    </row>
    <row r="322" spans="1:10">
      <c r="A322" t="s">
        <v>1290</v>
      </c>
      <c r="B322" t="s">
        <v>669</v>
      </c>
      <c r="C322" t="s">
        <v>417</v>
      </c>
      <c r="D322">
        <v>4</v>
      </c>
      <c r="E322" s="27">
        <v>59.79</v>
      </c>
      <c r="F322" s="28">
        <v>0</v>
      </c>
      <c r="G322" s="27">
        <v>239.16</v>
      </c>
      <c r="H322" s="27">
        <v>47.83</v>
      </c>
      <c r="I322" s="27">
        <v>286.99</v>
      </c>
      <c r="J322" s="29" cm="1">
        <f t="array" ref="J322">INDEX(Commandes!$B$2:$B$421,MATCH(B322,Commandes!$A$2:$A$421,0))</f>
        <v>45761</v>
      </c>
    </row>
    <row r="323" spans="1:10">
      <c r="A323" t="s">
        <v>1291</v>
      </c>
      <c r="B323" t="s">
        <v>669</v>
      </c>
      <c r="C323" t="s">
        <v>372</v>
      </c>
      <c r="D323">
        <v>1</v>
      </c>
      <c r="E323" s="27">
        <v>216.77</v>
      </c>
      <c r="F323" s="28">
        <v>0.05</v>
      </c>
      <c r="G323" s="27">
        <v>205.93</v>
      </c>
      <c r="H323" s="27">
        <v>41.19</v>
      </c>
      <c r="I323" s="27">
        <v>247.12</v>
      </c>
      <c r="J323" s="29" cm="1">
        <f t="array" ref="J323">INDEX(Commandes!$B$2:$B$421,MATCH(B323,Commandes!$A$2:$A$421,0))</f>
        <v>45761</v>
      </c>
    </row>
    <row r="324" spans="1:10">
      <c r="A324" t="s">
        <v>1292</v>
      </c>
      <c r="B324" t="s">
        <v>670</v>
      </c>
      <c r="C324" t="s">
        <v>389</v>
      </c>
      <c r="D324">
        <v>4</v>
      </c>
      <c r="E324" s="27">
        <v>120.37</v>
      </c>
      <c r="F324" s="28">
        <v>0</v>
      </c>
      <c r="G324" s="27">
        <v>481.48</v>
      </c>
      <c r="H324" s="27">
        <v>96.3</v>
      </c>
      <c r="I324" s="27">
        <v>577.78</v>
      </c>
      <c r="J324" s="29" cm="1">
        <f t="array" ref="J324">INDEX(Commandes!$B$2:$B$421,MATCH(B324,Commandes!$A$2:$A$421,0))</f>
        <v>45308</v>
      </c>
    </row>
    <row r="325" spans="1:10">
      <c r="A325" t="s">
        <v>1293</v>
      </c>
      <c r="B325" t="s">
        <v>670</v>
      </c>
      <c r="C325" t="s">
        <v>393</v>
      </c>
      <c r="D325">
        <v>4</v>
      </c>
      <c r="E325" s="27">
        <v>196.18</v>
      </c>
      <c r="F325" s="28">
        <v>0</v>
      </c>
      <c r="G325" s="27">
        <v>784.72</v>
      </c>
      <c r="H325" s="27">
        <v>156.94</v>
      </c>
      <c r="I325" s="27">
        <v>941.66</v>
      </c>
      <c r="J325" s="29" cm="1">
        <f t="array" ref="J325">INDEX(Commandes!$B$2:$B$421,MATCH(B325,Commandes!$A$2:$A$421,0))</f>
        <v>45308</v>
      </c>
    </row>
    <row r="326" spans="1:10">
      <c r="A326" t="s">
        <v>1294</v>
      </c>
      <c r="B326" t="s">
        <v>670</v>
      </c>
      <c r="C326" t="s">
        <v>380</v>
      </c>
      <c r="D326">
        <v>2</v>
      </c>
      <c r="E326" s="27">
        <v>80.3</v>
      </c>
      <c r="F326" s="28">
        <v>0</v>
      </c>
      <c r="G326" s="27">
        <v>160.6</v>
      </c>
      <c r="H326" s="27">
        <v>32.12</v>
      </c>
      <c r="I326" s="27">
        <v>192.72</v>
      </c>
      <c r="J326" s="29" cm="1">
        <f t="array" ref="J326">INDEX(Commandes!$B$2:$B$421,MATCH(B326,Commandes!$A$2:$A$421,0))</f>
        <v>45308</v>
      </c>
    </row>
    <row r="327" spans="1:10">
      <c r="A327" t="s">
        <v>1295</v>
      </c>
      <c r="B327" t="s">
        <v>670</v>
      </c>
      <c r="C327" t="s">
        <v>380</v>
      </c>
      <c r="D327">
        <v>1</v>
      </c>
      <c r="E327" s="27">
        <v>80.3</v>
      </c>
      <c r="F327" s="28">
        <v>0.15</v>
      </c>
      <c r="G327" s="27">
        <v>68.25</v>
      </c>
      <c r="H327" s="27">
        <v>13.65</v>
      </c>
      <c r="I327" s="27">
        <v>81.9</v>
      </c>
      <c r="J327" s="29" cm="1">
        <f t="array" ref="J327">INDEX(Commandes!$B$2:$B$421,MATCH(B327,Commandes!$A$2:$A$421,0))</f>
        <v>45308</v>
      </c>
    </row>
    <row r="328" spans="1:10">
      <c r="A328" t="s">
        <v>1296</v>
      </c>
      <c r="B328" t="s">
        <v>670</v>
      </c>
      <c r="C328" t="s">
        <v>393</v>
      </c>
      <c r="D328">
        <v>1</v>
      </c>
      <c r="E328" s="27">
        <v>196.18</v>
      </c>
      <c r="F328" s="28">
        <v>0.15</v>
      </c>
      <c r="G328" s="27">
        <v>166.75</v>
      </c>
      <c r="H328" s="27">
        <v>33.35</v>
      </c>
      <c r="I328" s="27">
        <v>200.1</v>
      </c>
      <c r="J328" s="29" cm="1">
        <f t="array" ref="J328">INDEX(Commandes!$B$2:$B$421,MATCH(B328,Commandes!$A$2:$A$421,0))</f>
        <v>45308</v>
      </c>
    </row>
    <row r="329" spans="1:10">
      <c r="A329" t="s">
        <v>1297</v>
      </c>
      <c r="B329" t="s">
        <v>671</v>
      </c>
      <c r="C329" t="s">
        <v>377</v>
      </c>
      <c r="D329">
        <v>1</v>
      </c>
      <c r="E329" s="27">
        <v>84.94</v>
      </c>
      <c r="F329" s="28">
        <v>0</v>
      </c>
      <c r="G329" s="27">
        <v>84.94</v>
      </c>
      <c r="H329" s="27">
        <v>16.99</v>
      </c>
      <c r="I329" s="27">
        <v>101.93</v>
      </c>
      <c r="J329" s="29" cm="1">
        <f t="array" ref="J329">INDEX(Commandes!$B$2:$B$421,MATCH(B329,Commandes!$A$2:$A$421,0))</f>
        <v>45604</v>
      </c>
    </row>
    <row r="330" spans="1:10">
      <c r="A330" t="s">
        <v>1298</v>
      </c>
      <c r="B330" t="s">
        <v>672</v>
      </c>
      <c r="C330" t="s">
        <v>429</v>
      </c>
      <c r="D330">
        <v>2</v>
      </c>
      <c r="E330" s="27">
        <v>32.75</v>
      </c>
      <c r="F330" s="28">
        <v>0.05</v>
      </c>
      <c r="G330" s="27">
        <v>62.22</v>
      </c>
      <c r="H330" s="27">
        <v>12.44</v>
      </c>
      <c r="I330" s="27">
        <v>74.66</v>
      </c>
      <c r="J330" s="29" cm="1">
        <f t="array" ref="J330">INDEX(Commandes!$B$2:$B$421,MATCH(B330,Commandes!$A$2:$A$421,0))</f>
        <v>45823</v>
      </c>
    </row>
    <row r="331" spans="1:10">
      <c r="A331" t="s">
        <v>1299</v>
      </c>
      <c r="B331" t="s">
        <v>672</v>
      </c>
      <c r="C331" t="s">
        <v>377</v>
      </c>
      <c r="D331">
        <v>1</v>
      </c>
      <c r="E331" s="27">
        <v>84.94</v>
      </c>
      <c r="F331" s="28">
        <v>0</v>
      </c>
      <c r="G331" s="27">
        <v>84.94</v>
      </c>
      <c r="H331" s="27">
        <v>16.99</v>
      </c>
      <c r="I331" s="27">
        <v>101.93</v>
      </c>
      <c r="J331" s="29" cm="1">
        <f t="array" ref="J331">INDEX(Commandes!$B$2:$B$421,MATCH(B331,Commandes!$A$2:$A$421,0))</f>
        <v>45823</v>
      </c>
    </row>
    <row r="332" spans="1:10">
      <c r="A332" t="s">
        <v>1300</v>
      </c>
      <c r="B332" t="s">
        <v>672</v>
      </c>
      <c r="C332" t="s">
        <v>469</v>
      </c>
      <c r="D332">
        <v>3</v>
      </c>
      <c r="E332" s="27">
        <v>30.71</v>
      </c>
      <c r="F332" s="28">
        <v>0</v>
      </c>
      <c r="G332" s="27">
        <v>92.13</v>
      </c>
      <c r="H332" s="27">
        <v>18.43</v>
      </c>
      <c r="I332" s="27">
        <v>110.56</v>
      </c>
      <c r="J332" s="29" cm="1">
        <f t="array" ref="J332">INDEX(Commandes!$B$2:$B$421,MATCH(B332,Commandes!$A$2:$A$421,0))</f>
        <v>45823</v>
      </c>
    </row>
    <row r="333" spans="1:10">
      <c r="A333" t="s">
        <v>1301</v>
      </c>
      <c r="B333" t="s">
        <v>672</v>
      </c>
      <c r="C333" t="s">
        <v>414</v>
      </c>
      <c r="D333">
        <v>1</v>
      </c>
      <c r="E333" s="27">
        <v>63.96</v>
      </c>
      <c r="F333" s="28">
        <v>0</v>
      </c>
      <c r="G333" s="27">
        <v>63.96</v>
      </c>
      <c r="H333" s="27">
        <v>12.79</v>
      </c>
      <c r="I333" s="27">
        <v>76.75</v>
      </c>
      <c r="J333" s="29" cm="1">
        <f t="array" ref="J333">INDEX(Commandes!$B$2:$B$421,MATCH(B333,Commandes!$A$2:$A$421,0))</f>
        <v>45823</v>
      </c>
    </row>
    <row r="334" spans="1:10">
      <c r="A334" t="s">
        <v>1302</v>
      </c>
      <c r="B334" t="s">
        <v>672</v>
      </c>
      <c r="C334" t="s">
        <v>389</v>
      </c>
      <c r="D334">
        <v>1</v>
      </c>
      <c r="E334" s="27">
        <v>120.37</v>
      </c>
      <c r="F334" s="28">
        <v>0</v>
      </c>
      <c r="G334" s="27">
        <v>120.37</v>
      </c>
      <c r="H334" s="27">
        <v>24.07</v>
      </c>
      <c r="I334" s="27">
        <v>144.44</v>
      </c>
      <c r="J334" s="29" cm="1">
        <f t="array" ref="J334">INDEX(Commandes!$B$2:$B$421,MATCH(B334,Commandes!$A$2:$A$421,0))</f>
        <v>45823</v>
      </c>
    </row>
    <row r="335" spans="1:10">
      <c r="A335" t="s">
        <v>1303</v>
      </c>
      <c r="B335" t="s">
        <v>673</v>
      </c>
      <c r="C335" t="s">
        <v>469</v>
      </c>
      <c r="D335">
        <v>1</v>
      </c>
      <c r="E335" s="27">
        <v>30.71</v>
      </c>
      <c r="F335" s="28">
        <v>0.15</v>
      </c>
      <c r="G335" s="27">
        <v>26.1</v>
      </c>
      <c r="H335" s="27">
        <v>5.22</v>
      </c>
      <c r="I335" s="27">
        <v>31.32</v>
      </c>
      <c r="J335" s="29" cm="1">
        <f t="array" ref="J335">INDEX(Commandes!$B$2:$B$421,MATCH(B335,Commandes!$A$2:$A$421,0))</f>
        <v>45948</v>
      </c>
    </row>
    <row r="336" spans="1:10">
      <c r="A336" t="s">
        <v>1304</v>
      </c>
      <c r="B336" t="s">
        <v>673</v>
      </c>
      <c r="C336" t="s">
        <v>391</v>
      </c>
      <c r="D336">
        <v>4</v>
      </c>
      <c r="E336" s="27">
        <v>138.13</v>
      </c>
      <c r="F336" s="28">
        <v>0.1</v>
      </c>
      <c r="G336" s="27">
        <v>497.27</v>
      </c>
      <c r="H336" s="27">
        <v>99.45</v>
      </c>
      <c r="I336" s="27">
        <v>596.72</v>
      </c>
      <c r="J336" s="29" cm="1">
        <f t="array" ref="J336">INDEX(Commandes!$B$2:$B$421,MATCH(B336,Commandes!$A$2:$A$421,0))</f>
        <v>45948</v>
      </c>
    </row>
    <row r="337" spans="1:10">
      <c r="A337" t="s">
        <v>1305</v>
      </c>
      <c r="B337" t="s">
        <v>674</v>
      </c>
      <c r="C337" t="s">
        <v>423</v>
      </c>
      <c r="D337">
        <v>1</v>
      </c>
      <c r="E337" s="27">
        <v>46.02</v>
      </c>
      <c r="F337" s="28">
        <v>0.05</v>
      </c>
      <c r="G337" s="27">
        <v>43.72</v>
      </c>
      <c r="H337" s="27">
        <v>8.74</v>
      </c>
      <c r="I337" s="27">
        <v>52.46</v>
      </c>
      <c r="J337" s="29" cm="1">
        <f t="array" ref="J337">INDEX(Commandes!$B$2:$B$421,MATCH(B337,Commandes!$A$2:$A$421,0))</f>
        <v>45995</v>
      </c>
    </row>
    <row r="338" spans="1:10">
      <c r="A338" t="s">
        <v>1306</v>
      </c>
      <c r="B338" t="s">
        <v>674</v>
      </c>
      <c r="C338" t="s">
        <v>414</v>
      </c>
      <c r="D338">
        <v>3</v>
      </c>
      <c r="E338" s="27">
        <v>63.96</v>
      </c>
      <c r="F338" s="28">
        <v>0</v>
      </c>
      <c r="G338" s="27">
        <v>191.88</v>
      </c>
      <c r="H338" s="27">
        <v>38.38</v>
      </c>
      <c r="I338" s="27">
        <v>230.26</v>
      </c>
      <c r="J338" s="29" cm="1">
        <f t="array" ref="J338">INDEX(Commandes!$B$2:$B$421,MATCH(B338,Commandes!$A$2:$A$421,0))</f>
        <v>45995</v>
      </c>
    </row>
    <row r="339" spans="1:10">
      <c r="A339" t="s">
        <v>1307</v>
      </c>
      <c r="B339" t="s">
        <v>675</v>
      </c>
      <c r="C339" t="s">
        <v>461</v>
      </c>
      <c r="D339">
        <v>4</v>
      </c>
      <c r="E339" s="27">
        <v>59.83</v>
      </c>
      <c r="F339" s="28">
        <v>0</v>
      </c>
      <c r="G339" s="27">
        <v>239.32</v>
      </c>
      <c r="H339" s="27">
        <v>47.86</v>
      </c>
      <c r="I339" s="27">
        <v>287.18</v>
      </c>
      <c r="J339" s="29" cm="1">
        <f t="array" ref="J339">INDEX(Commandes!$B$2:$B$421,MATCH(B339,Commandes!$A$2:$A$421,0))</f>
        <v>45575</v>
      </c>
    </row>
    <row r="340" spans="1:10">
      <c r="A340" t="s">
        <v>1308</v>
      </c>
      <c r="B340" t="s">
        <v>675</v>
      </c>
      <c r="C340" t="s">
        <v>442</v>
      </c>
      <c r="D340">
        <v>2</v>
      </c>
      <c r="E340" s="27">
        <v>374.59</v>
      </c>
      <c r="F340" s="28">
        <v>0</v>
      </c>
      <c r="G340" s="27">
        <v>749.18</v>
      </c>
      <c r="H340" s="27">
        <v>149.84</v>
      </c>
      <c r="I340" s="27">
        <v>899.02</v>
      </c>
      <c r="J340" s="29" cm="1">
        <f t="array" ref="J340">INDEX(Commandes!$B$2:$B$421,MATCH(B340,Commandes!$A$2:$A$421,0))</f>
        <v>45575</v>
      </c>
    </row>
    <row r="341" spans="1:10">
      <c r="A341" t="s">
        <v>1309</v>
      </c>
      <c r="B341" t="s">
        <v>675</v>
      </c>
      <c r="C341" t="s">
        <v>471</v>
      </c>
      <c r="D341">
        <v>1</v>
      </c>
      <c r="E341" s="27">
        <v>35.83</v>
      </c>
      <c r="F341" s="28">
        <v>0.15</v>
      </c>
      <c r="G341" s="27">
        <v>30.46</v>
      </c>
      <c r="H341" s="27">
        <v>6.09</v>
      </c>
      <c r="I341" s="27">
        <v>36.55</v>
      </c>
      <c r="J341" s="29" cm="1">
        <f t="array" ref="J341">INDEX(Commandes!$B$2:$B$421,MATCH(B341,Commandes!$A$2:$A$421,0))</f>
        <v>45575</v>
      </c>
    </row>
    <row r="342" spans="1:10">
      <c r="A342" t="s">
        <v>1310</v>
      </c>
      <c r="B342" t="s">
        <v>676</v>
      </c>
      <c r="C342" t="s">
        <v>377</v>
      </c>
      <c r="D342">
        <v>2</v>
      </c>
      <c r="E342" s="27">
        <v>84.94</v>
      </c>
      <c r="F342" s="28">
        <v>0</v>
      </c>
      <c r="G342" s="27">
        <v>169.88</v>
      </c>
      <c r="H342" s="27">
        <v>33.98</v>
      </c>
      <c r="I342" s="27">
        <v>203.86</v>
      </c>
      <c r="J342" s="29" cm="1">
        <f t="array" ref="J342">INDEX(Commandes!$B$2:$B$421,MATCH(B342,Commandes!$A$2:$A$421,0))</f>
        <v>45347</v>
      </c>
    </row>
    <row r="343" spans="1:10">
      <c r="A343" t="s">
        <v>1311</v>
      </c>
      <c r="B343" t="s">
        <v>676</v>
      </c>
      <c r="C343" t="s">
        <v>421</v>
      </c>
      <c r="D343">
        <v>5</v>
      </c>
      <c r="E343" s="27">
        <v>78.78</v>
      </c>
      <c r="F343" s="28">
        <v>0</v>
      </c>
      <c r="G343" s="27">
        <v>393.9</v>
      </c>
      <c r="H343" s="27">
        <v>78.78</v>
      </c>
      <c r="I343" s="27">
        <v>472.68</v>
      </c>
      <c r="J343" s="29" cm="1">
        <f t="array" ref="J343">INDEX(Commandes!$B$2:$B$421,MATCH(B343,Commandes!$A$2:$A$421,0))</f>
        <v>45347</v>
      </c>
    </row>
    <row r="344" spans="1:10">
      <c r="A344" t="s">
        <v>1312</v>
      </c>
      <c r="B344" t="s">
        <v>677</v>
      </c>
      <c r="C344" t="s">
        <v>475</v>
      </c>
      <c r="D344">
        <v>1</v>
      </c>
      <c r="E344" s="27">
        <v>42</v>
      </c>
      <c r="F344" s="28">
        <v>0.1</v>
      </c>
      <c r="G344" s="27">
        <v>37.8</v>
      </c>
      <c r="H344" s="27">
        <v>7.56</v>
      </c>
      <c r="I344" s="27">
        <v>45.36</v>
      </c>
      <c r="J344" s="29" cm="1">
        <f t="array" ref="J344">INDEX(Commandes!$B$2:$B$421,MATCH(B344,Commandes!$A$2:$A$421,0))</f>
        <v>45688</v>
      </c>
    </row>
    <row r="345" spans="1:10">
      <c r="A345" t="s">
        <v>1313</v>
      </c>
      <c r="B345" t="s">
        <v>677</v>
      </c>
      <c r="C345" t="s">
        <v>377</v>
      </c>
      <c r="D345">
        <v>1</v>
      </c>
      <c r="E345" s="27">
        <v>84.94</v>
      </c>
      <c r="F345" s="28">
        <v>0</v>
      </c>
      <c r="G345" s="27">
        <v>84.94</v>
      </c>
      <c r="H345" s="27">
        <v>16.99</v>
      </c>
      <c r="I345" s="27">
        <v>101.93</v>
      </c>
      <c r="J345" s="29" cm="1">
        <f t="array" ref="J345">INDEX(Commandes!$B$2:$B$421,MATCH(B345,Commandes!$A$2:$A$421,0))</f>
        <v>45688</v>
      </c>
    </row>
    <row r="346" spans="1:10">
      <c r="A346" t="s">
        <v>1314</v>
      </c>
      <c r="B346" t="s">
        <v>677</v>
      </c>
      <c r="C346" t="s">
        <v>372</v>
      </c>
      <c r="D346">
        <v>5</v>
      </c>
      <c r="E346" s="27">
        <v>216.77</v>
      </c>
      <c r="F346" s="28">
        <v>0.05</v>
      </c>
      <c r="G346" s="27">
        <v>1029.66</v>
      </c>
      <c r="H346" s="27">
        <v>205.93</v>
      </c>
      <c r="I346" s="27">
        <v>1235.59</v>
      </c>
      <c r="J346" s="29" cm="1">
        <f t="array" ref="J346">INDEX(Commandes!$B$2:$B$421,MATCH(B346,Commandes!$A$2:$A$421,0))</f>
        <v>45688</v>
      </c>
    </row>
    <row r="347" spans="1:10">
      <c r="A347" t="s">
        <v>1315</v>
      </c>
      <c r="B347" t="s">
        <v>677</v>
      </c>
      <c r="C347" t="s">
        <v>440</v>
      </c>
      <c r="D347">
        <v>1</v>
      </c>
      <c r="E347" s="27">
        <v>391.34</v>
      </c>
      <c r="F347" s="28">
        <v>0.15</v>
      </c>
      <c r="G347" s="27">
        <v>332.64</v>
      </c>
      <c r="H347" s="27">
        <v>66.53</v>
      </c>
      <c r="I347" s="27">
        <v>399.17</v>
      </c>
      <c r="J347" s="29" cm="1">
        <f t="array" ref="J347">INDEX(Commandes!$B$2:$B$421,MATCH(B347,Commandes!$A$2:$A$421,0))</f>
        <v>45688</v>
      </c>
    </row>
    <row r="348" spans="1:10">
      <c r="A348" t="s">
        <v>1316</v>
      </c>
      <c r="B348" t="s">
        <v>677</v>
      </c>
      <c r="C348" t="s">
        <v>440</v>
      </c>
      <c r="D348">
        <v>3</v>
      </c>
      <c r="E348" s="27">
        <v>391.34</v>
      </c>
      <c r="F348" s="28">
        <v>0.05</v>
      </c>
      <c r="G348" s="27">
        <v>1115.32</v>
      </c>
      <c r="H348" s="27">
        <v>223.06</v>
      </c>
      <c r="I348" s="27">
        <v>1338.38</v>
      </c>
      <c r="J348" s="29" cm="1">
        <f t="array" ref="J348">INDEX(Commandes!$B$2:$B$421,MATCH(B348,Commandes!$A$2:$A$421,0))</f>
        <v>45688</v>
      </c>
    </row>
    <row r="349" spans="1:10">
      <c r="A349" t="s">
        <v>1317</v>
      </c>
      <c r="B349" t="s">
        <v>678</v>
      </c>
      <c r="C349" t="s">
        <v>400</v>
      </c>
      <c r="D349">
        <v>8</v>
      </c>
      <c r="E349" s="27">
        <v>328.03</v>
      </c>
      <c r="F349" s="28">
        <v>0</v>
      </c>
      <c r="G349" s="27">
        <v>2624.24</v>
      </c>
      <c r="H349" s="27">
        <v>524.85</v>
      </c>
      <c r="I349" s="27">
        <v>3149.09</v>
      </c>
      <c r="J349" s="29" cm="1">
        <f t="array" ref="J349">INDEX(Commandes!$B$2:$B$421,MATCH(B349,Commandes!$A$2:$A$421,0))</f>
        <v>46010</v>
      </c>
    </row>
    <row r="350" spans="1:10">
      <c r="A350" t="s">
        <v>1318</v>
      </c>
      <c r="B350" t="s">
        <v>678</v>
      </c>
      <c r="C350" t="s">
        <v>444</v>
      </c>
      <c r="D350">
        <v>1</v>
      </c>
      <c r="E350" s="27">
        <v>442.3</v>
      </c>
      <c r="F350" s="28">
        <v>0.1</v>
      </c>
      <c r="G350" s="27">
        <v>398.07</v>
      </c>
      <c r="H350" s="27">
        <v>79.61</v>
      </c>
      <c r="I350" s="27">
        <v>477.68</v>
      </c>
      <c r="J350" s="29" cm="1">
        <f t="array" ref="J350">INDEX(Commandes!$B$2:$B$421,MATCH(B350,Commandes!$A$2:$A$421,0))</f>
        <v>46010</v>
      </c>
    </row>
    <row r="351" spans="1:10">
      <c r="A351" t="s">
        <v>1319</v>
      </c>
      <c r="B351" t="s">
        <v>679</v>
      </c>
      <c r="C351" t="s">
        <v>429</v>
      </c>
      <c r="D351">
        <v>1</v>
      </c>
      <c r="E351" s="27">
        <v>32.75</v>
      </c>
      <c r="F351" s="28">
        <v>0.1</v>
      </c>
      <c r="G351" s="27">
        <v>29.48</v>
      </c>
      <c r="H351" s="27">
        <v>5.9</v>
      </c>
      <c r="I351" s="27">
        <v>35.38</v>
      </c>
      <c r="J351" s="29" cm="1">
        <f t="array" ref="J351">INDEX(Commandes!$B$2:$B$421,MATCH(B351,Commandes!$A$2:$A$421,0))</f>
        <v>45941</v>
      </c>
    </row>
    <row r="352" spans="1:10">
      <c r="A352" t="s">
        <v>1320</v>
      </c>
      <c r="B352" t="s">
        <v>680</v>
      </c>
      <c r="C352" t="s">
        <v>419</v>
      </c>
      <c r="D352">
        <v>2</v>
      </c>
      <c r="E352" s="27">
        <v>100.34</v>
      </c>
      <c r="F352" s="28">
        <v>0.15</v>
      </c>
      <c r="G352" s="27">
        <v>170.58</v>
      </c>
      <c r="H352" s="27">
        <v>34.12</v>
      </c>
      <c r="I352" s="27">
        <v>204.7</v>
      </c>
      <c r="J352" s="29" cm="1">
        <f t="array" ref="J352">INDEX(Commandes!$B$2:$B$421,MATCH(B352,Commandes!$A$2:$A$421,0))</f>
        <v>45915</v>
      </c>
    </row>
    <row r="353" spans="1:10">
      <c r="A353" t="s">
        <v>1321</v>
      </c>
      <c r="B353" t="s">
        <v>681</v>
      </c>
      <c r="C353" t="s">
        <v>370</v>
      </c>
      <c r="D353">
        <v>1</v>
      </c>
      <c r="E353" s="27">
        <v>970.58</v>
      </c>
      <c r="F353" s="28">
        <v>0.05</v>
      </c>
      <c r="G353" s="27">
        <v>922.05</v>
      </c>
      <c r="H353" s="27">
        <v>184.41</v>
      </c>
      <c r="I353" s="27">
        <v>1106.46</v>
      </c>
      <c r="J353" s="29" cm="1">
        <f t="array" ref="J353">INDEX(Commandes!$B$2:$B$421,MATCH(B353,Commandes!$A$2:$A$421,0))</f>
        <v>45557</v>
      </c>
    </row>
    <row r="354" spans="1:10">
      <c r="A354" t="s">
        <v>1322</v>
      </c>
      <c r="B354" t="s">
        <v>681</v>
      </c>
      <c r="C354" t="s">
        <v>408</v>
      </c>
      <c r="D354">
        <v>2</v>
      </c>
      <c r="E354" s="27">
        <v>19.65</v>
      </c>
      <c r="F354" s="28">
        <v>0</v>
      </c>
      <c r="G354" s="27">
        <v>39.3</v>
      </c>
      <c r="H354" s="27">
        <v>7.86</v>
      </c>
      <c r="I354" s="27">
        <v>47.16</v>
      </c>
      <c r="J354" s="29" cm="1">
        <f t="array" ref="J354">INDEX(Commandes!$B$2:$B$421,MATCH(B354,Commandes!$A$2:$A$421,0))</f>
        <v>45557</v>
      </c>
    </row>
    <row r="355" spans="1:10">
      <c r="A355" t="s">
        <v>1323</v>
      </c>
      <c r="B355" t="s">
        <v>681</v>
      </c>
      <c r="C355" t="s">
        <v>467</v>
      </c>
      <c r="D355">
        <v>8</v>
      </c>
      <c r="E355" s="27">
        <v>49.53</v>
      </c>
      <c r="F355" s="28">
        <v>0.15</v>
      </c>
      <c r="G355" s="27">
        <v>336.8</v>
      </c>
      <c r="H355" s="27">
        <v>67.36</v>
      </c>
      <c r="I355" s="27">
        <v>404.16</v>
      </c>
      <c r="J355" s="29" cm="1">
        <f t="array" ref="J355">INDEX(Commandes!$B$2:$B$421,MATCH(B355,Commandes!$A$2:$A$421,0))</f>
        <v>45557</v>
      </c>
    </row>
    <row r="356" spans="1:10">
      <c r="A356" t="s">
        <v>1324</v>
      </c>
      <c r="B356" t="s">
        <v>682</v>
      </c>
      <c r="C356" t="s">
        <v>475</v>
      </c>
      <c r="D356">
        <v>1</v>
      </c>
      <c r="E356" s="27">
        <v>42</v>
      </c>
      <c r="F356" s="28">
        <v>0.1</v>
      </c>
      <c r="G356" s="27">
        <v>37.8</v>
      </c>
      <c r="H356" s="27">
        <v>7.56</v>
      </c>
      <c r="I356" s="27">
        <v>45.36</v>
      </c>
      <c r="J356" s="29" cm="1">
        <f t="array" ref="J356">INDEX(Commandes!$B$2:$B$421,MATCH(B356,Commandes!$A$2:$A$421,0))</f>
        <v>45370</v>
      </c>
    </row>
    <row r="357" spans="1:10">
      <c r="A357" t="s">
        <v>1325</v>
      </c>
      <c r="B357" t="s">
        <v>683</v>
      </c>
      <c r="C357" t="s">
        <v>366</v>
      </c>
      <c r="D357">
        <v>1</v>
      </c>
      <c r="E357" s="27">
        <v>1103.64</v>
      </c>
      <c r="F357" s="28">
        <v>0.05</v>
      </c>
      <c r="G357" s="27">
        <v>1048.46</v>
      </c>
      <c r="H357" s="27">
        <v>209.69</v>
      </c>
      <c r="I357" s="27">
        <v>1258.15</v>
      </c>
      <c r="J357" s="29" cm="1">
        <f t="array" ref="J357">INDEX(Commandes!$B$2:$B$421,MATCH(B357,Commandes!$A$2:$A$421,0))</f>
        <v>45982</v>
      </c>
    </row>
    <row r="358" spans="1:10">
      <c r="A358" t="s">
        <v>1326</v>
      </c>
      <c r="B358" t="s">
        <v>683</v>
      </c>
      <c r="C358" t="s">
        <v>421</v>
      </c>
      <c r="D358">
        <v>1</v>
      </c>
      <c r="E358" s="27">
        <v>78.78</v>
      </c>
      <c r="F358" s="28">
        <v>0</v>
      </c>
      <c r="G358" s="27">
        <v>78.78</v>
      </c>
      <c r="H358" s="27">
        <v>15.76</v>
      </c>
      <c r="I358" s="27">
        <v>94.54</v>
      </c>
      <c r="J358" s="29" cm="1">
        <f t="array" ref="J358">INDEX(Commandes!$B$2:$B$421,MATCH(B358,Commandes!$A$2:$A$421,0))</f>
        <v>45982</v>
      </c>
    </row>
    <row r="359" spans="1:10">
      <c r="A359" t="s">
        <v>1327</v>
      </c>
      <c r="B359" t="s">
        <v>683</v>
      </c>
      <c r="C359" t="s">
        <v>396</v>
      </c>
      <c r="D359">
        <v>5</v>
      </c>
      <c r="E359" s="27">
        <v>225.64</v>
      </c>
      <c r="F359" s="28">
        <v>0</v>
      </c>
      <c r="G359" s="27">
        <v>1128.2</v>
      </c>
      <c r="H359" s="27">
        <v>225.64</v>
      </c>
      <c r="I359" s="27">
        <v>1353.84</v>
      </c>
      <c r="J359" s="29" cm="1">
        <f t="array" ref="J359">INDEX(Commandes!$B$2:$B$421,MATCH(B359,Commandes!$A$2:$A$421,0))</f>
        <v>45982</v>
      </c>
    </row>
    <row r="360" spans="1:10">
      <c r="A360" t="s">
        <v>1328</v>
      </c>
      <c r="B360" t="s">
        <v>683</v>
      </c>
      <c r="C360" t="s">
        <v>446</v>
      </c>
      <c r="D360">
        <v>3</v>
      </c>
      <c r="E360" s="27">
        <v>454.43</v>
      </c>
      <c r="F360" s="28">
        <v>0.15</v>
      </c>
      <c r="G360" s="27">
        <v>1158.8</v>
      </c>
      <c r="H360" s="27">
        <v>231.76</v>
      </c>
      <c r="I360" s="27">
        <v>1390.56</v>
      </c>
      <c r="J360" s="29" cm="1">
        <f t="array" ref="J360">INDEX(Commandes!$B$2:$B$421,MATCH(B360,Commandes!$A$2:$A$421,0))</f>
        <v>45982</v>
      </c>
    </row>
    <row r="361" spans="1:10">
      <c r="A361" t="s">
        <v>1329</v>
      </c>
      <c r="B361" t="s">
        <v>684</v>
      </c>
      <c r="C361" t="s">
        <v>448</v>
      </c>
      <c r="D361">
        <v>1</v>
      </c>
      <c r="E361" s="27">
        <v>543.43</v>
      </c>
      <c r="F361" s="28">
        <v>0.1</v>
      </c>
      <c r="G361" s="27">
        <v>489.09</v>
      </c>
      <c r="H361" s="27">
        <v>97.82</v>
      </c>
      <c r="I361" s="27">
        <v>586.91</v>
      </c>
      <c r="J361" s="29" cm="1">
        <f t="array" ref="J361">INDEX(Commandes!$B$2:$B$421,MATCH(B361,Commandes!$A$2:$A$421,0))</f>
        <v>45963</v>
      </c>
    </row>
    <row r="362" spans="1:10">
      <c r="A362" t="s">
        <v>1330</v>
      </c>
      <c r="B362" t="s">
        <v>684</v>
      </c>
      <c r="C362" t="s">
        <v>463</v>
      </c>
      <c r="D362">
        <v>4</v>
      </c>
      <c r="E362" s="27">
        <v>73.02</v>
      </c>
      <c r="F362" s="28">
        <v>0</v>
      </c>
      <c r="G362" s="27">
        <v>292.08</v>
      </c>
      <c r="H362" s="27">
        <v>58.42</v>
      </c>
      <c r="I362" s="27">
        <v>350.5</v>
      </c>
      <c r="J362" s="29" cm="1">
        <f t="array" ref="J362">INDEX(Commandes!$B$2:$B$421,MATCH(B362,Commandes!$A$2:$A$421,0))</f>
        <v>45963</v>
      </c>
    </row>
    <row r="363" spans="1:10">
      <c r="A363" t="s">
        <v>1331</v>
      </c>
      <c r="B363" t="s">
        <v>684</v>
      </c>
      <c r="C363" t="s">
        <v>402</v>
      </c>
      <c r="D363">
        <v>3</v>
      </c>
      <c r="E363" s="27">
        <v>26.57</v>
      </c>
      <c r="F363" s="28">
        <v>0</v>
      </c>
      <c r="G363" s="27">
        <v>79.71</v>
      </c>
      <c r="H363" s="27">
        <v>15.94</v>
      </c>
      <c r="I363" s="27">
        <v>95.65</v>
      </c>
      <c r="J363" s="29" cm="1">
        <f t="array" ref="J363">INDEX(Commandes!$B$2:$B$421,MATCH(B363,Commandes!$A$2:$A$421,0))</f>
        <v>45963</v>
      </c>
    </row>
    <row r="364" spans="1:10">
      <c r="A364" t="s">
        <v>1332</v>
      </c>
      <c r="B364" t="s">
        <v>685</v>
      </c>
      <c r="C364" t="s">
        <v>433</v>
      </c>
      <c r="D364">
        <v>1</v>
      </c>
      <c r="E364" s="27">
        <v>58.14</v>
      </c>
      <c r="F364" s="28">
        <v>0</v>
      </c>
      <c r="G364" s="27">
        <v>58.14</v>
      </c>
      <c r="H364" s="27">
        <v>11.63</v>
      </c>
      <c r="I364" s="27">
        <v>69.77</v>
      </c>
      <c r="J364" s="29" cm="1">
        <f t="array" ref="J364">INDEX(Commandes!$B$2:$B$421,MATCH(B364,Commandes!$A$2:$A$421,0))</f>
        <v>45702</v>
      </c>
    </row>
    <row r="365" spans="1:10">
      <c r="A365" t="s">
        <v>1333</v>
      </c>
      <c r="B365" t="s">
        <v>686</v>
      </c>
      <c r="C365" t="s">
        <v>444</v>
      </c>
      <c r="D365">
        <v>3</v>
      </c>
      <c r="E365" s="27">
        <v>442.3</v>
      </c>
      <c r="F365" s="28">
        <v>0</v>
      </c>
      <c r="G365" s="27">
        <v>1326.9</v>
      </c>
      <c r="H365" s="27">
        <v>265.38</v>
      </c>
      <c r="I365" s="27">
        <v>1592.28</v>
      </c>
      <c r="J365" s="29" cm="1">
        <f t="array" ref="J365">INDEX(Commandes!$B$2:$B$421,MATCH(B365,Commandes!$A$2:$A$421,0))</f>
        <v>45590</v>
      </c>
    </row>
    <row r="366" spans="1:10">
      <c r="A366" t="s">
        <v>1334</v>
      </c>
      <c r="B366" t="s">
        <v>686</v>
      </c>
      <c r="C366" t="s">
        <v>391</v>
      </c>
      <c r="D366">
        <v>1</v>
      </c>
      <c r="E366" s="27">
        <v>138.13</v>
      </c>
      <c r="F366" s="28">
        <v>0.05</v>
      </c>
      <c r="G366" s="27">
        <v>131.22</v>
      </c>
      <c r="H366" s="27">
        <v>26.24</v>
      </c>
      <c r="I366" s="27">
        <v>157.46</v>
      </c>
      <c r="J366" s="29" cm="1">
        <f t="array" ref="J366">INDEX(Commandes!$B$2:$B$421,MATCH(B366,Commandes!$A$2:$A$421,0))</f>
        <v>45590</v>
      </c>
    </row>
    <row r="367" spans="1:10">
      <c r="A367" t="s">
        <v>1335</v>
      </c>
      <c r="B367" t="s">
        <v>686</v>
      </c>
      <c r="C367" t="s">
        <v>370</v>
      </c>
      <c r="D367">
        <v>1</v>
      </c>
      <c r="E367" s="27">
        <v>970.58</v>
      </c>
      <c r="F367" s="28">
        <v>0</v>
      </c>
      <c r="G367" s="27">
        <v>970.58</v>
      </c>
      <c r="H367" s="27">
        <v>194.12</v>
      </c>
      <c r="I367" s="27">
        <v>1164.7</v>
      </c>
      <c r="J367" s="29" cm="1">
        <f t="array" ref="J367">INDEX(Commandes!$B$2:$B$421,MATCH(B367,Commandes!$A$2:$A$421,0))</f>
        <v>45590</v>
      </c>
    </row>
    <row r="368" spans="1:10">
      <c r="A368" t="s">
        <v>1336</v>
      </c>
      <c r="B368" t="s">
        <v>687</v>
      </c>
      <c r="C368" t="s">
        <v>442</v>
      </c>
      <c r="D368">
        <v>10</v>
      </c>
      <c r="E368" s="27">
        <v>374.59</v>
      </c>
      <c r="F368" s="28">
        <v>0.05</v>
      </c>
      <c r="G368" s="27">
        <v>3558.6</v>
      </c>
      <c r="H368" s="27">
        <v>711.72</v>
      </c>
      <c r="I368" s="27">
        <v>4270.32</v>
      </c>
      <c r="J368" s="29" cm="1">
        <f t="array" ref="J368">INDEX(Commandes!$B$2:$B$421,MATCH(B368,Commandes!$A$2:$A$421,0))</f>
        <v>45943</v>
      </c>
    </row>
    <row r="369" spans="1:10">
      <c r="A369" t="s">
        <v>1337</v>
      </c>
      <c r="B369" t="s">
        <v>688</v>
      </c>
      <c r="C369" t="s">
        <v>421</v>
      </c>
      <c r="D369">
        <v>2</v>
      </c>
      <c r="E369" s="27">
        <v>78.78</v>
      </c>
      <c r="F369" s="28">
        <v>0.15</v>
      </c>
      <c r="G369" s="27">
        <v>133.93</v>
      </c>
      <c r="H369" s="27">
        <v>26.79</v>
      </c>
      <c r="I369" s="27">
        <v>160.72</v>
      </c>
      <c r="J369" s="29" cm="1">
        <f t="array" ref="J369">INDEX(Commandes!$B$2:$B$421,MATCH(B369,Commandes!$A$2:$A$421,0))</f>
        <v>45795</v>
      </c>
    </row>
    <row r="370" spans="1:10">
      <c r="A370" t="s">
        <v>1338</v>
      </c>
      <c r="B370" t="s">
        <v>688</v>
      </c>
      <c r="C370" t="s">
        <v>380</v>
      </c>
      <c r="D370">
        <v>2</v>
      </c>
      <c r="E370" s="27">
        <v>80.3</v>
      </c>
      <c r="F370" s="28">
        <v>0.1</v>
      </c>
      <c r="G370" s="27">
        <v>144.54</v>
      </c>
      <c r="H370" s="27">
        <v>28.91</v>
      </c>
      <c r="I370" s="27">
        <v>173.45</v>
      </c>
      <c r="J370" s="29" cm="1">
        <f t="array" ref="J370">INDEX(Commandes!$B$2:$B$421,MATCH(B370,Commandes!$A$2:$A$421,0))</f>
        <v>45795</v>
      </c>
    </row>
    <row r="371" spans="1:10">
      <c r="A371" t="s">
        <v>1339</v>
      </c>
      <c r="B371" t="s">
        <v>688</v>
      </c>
      <c r="C371" t="s">
        <v>389</v>
      </c>
      <c r="D371">
        <v>2</v>
      </c>
      <c r="E371" s="27">
        <v>120.37</v>
      </c>
      <c r="F371" s="28">
        <v>0.05</v>
      </c>
      <c r="G371" s="27">
        <v>228.7</v>
      </c>
      <c r="H371" s="27">
        <v>45.74</v>
      </c>
      <c r="I371" s="27">
        <v>274.44</v>
      </c>
      <c r="J371" s="29" cm="1">
        <f t="array" ref="J371">INDEX(Commandes!$B$2:$B$421,MATCH(B371,Commandes!$A$2:$A$421,0))</f>
        <v>45795</v>
      </c>
    </row>
    <row r="372" spans="1:10">
      <c r="A372" t="s">
        <v>1340</v>
      </c>
      <c r="B372" t="s">
        <v>689</v>
      </c>
      <c r="C372" t="s">
        <v>414</v>
      </c>
      <c r="D372">
        <v>5</v>
      </c>
      <c r="E372" s="27">
        <v>63.96</v>
      </c>
      <c r="F372" s="28">
        <v>0.05</v>
      </c>
      <c r="G372" s="27">
        <v>303.81</v>
      </c>
      <c r="H372" s="27">
        <v>60.76</v>
      </c>
      <c r="I372" s="27">
        <v>364.57</v>
      </c>
      <c r="J372" s="29" cm="1">
        <f t="array" ref="J372">INDEX(Commandes!$B$2:$B$421,MATCH(B372,Commandes!$A$2:$A$421,0))</f>
        <v>45368</v>
      </c>
    </row>
    <row r="373" spans="1:10">
      <c r="A373" t="s">
        <v>1341</v>
      </c>
      <c r="B373" t="s">
        <v>690</v>
      </c>
      <c r="C373" t="s">
        <v>389</v>
      </c>
      <c r="D373">
        <v>3</v>
      </c>
      <c r="E373" s="27">
        <v>120.37</v>
      </c>
      <c r="F373" s="28">
        <v>0.1</v>
      </c>
      <c r="G373" s="27">
        <v>325</v>
      </c>
      <c r="H373" s="27">
        <v>65</v>
      </c>
      <c r="I373" s="27">
        <v>390</v>
      </c>
      <c r="J373" s="29" cm="1">
        <f t="array" ref="J373">INDEX(Commandes!$B$2:$B$421,MATCH(B373,Commandes!$A$2:$A$421,0))</f>
        <v>46009</v>
      </c>
    </row>
    <row r="374" spans="1:10">
      <c r="A374" t="s">
        <v>1342</v>
      </c>
      <c r="B374" t="s">
        <v>690</v>
      </c>
      <c r="C374" t="s">
        <v>383</v>
      </c>
      <c r="D374">
        <v>1</v>
      </c>
      <c r="E374" s="27">
        <v>39.08</v>
      </c>
      <c r="F374" s="28">
        <v>0</v>
      </c>
      <c r="G374" s="27">
        <v>39.08</v>
      </c>
      <c r="H374" s="27">
        <v>7.82</v>
      </c>
      <c r="I374" s="27">
        <v>46.9</v>
      </c>
      <c r="J374" s="29" cm="1">
        <f t="array" ref="J374">INDEX(Commandes!$B$2:$B$421,MATCH(B374,Commandes!$A$2:$A$421,0))</f>
        <v>46009</v>
      </c>
    </row>
    <row r="375" spans="1:10">
      <c r="A375" t="s">
        <v>1343</v>
      </c>
      <c r="B375" t="s">
        <v>690</v>
      </c>
      <c r="C375" t="s">
        <v>431</v>
      </c>
      <c r="D375">
        <v>2</v>
      </c>
      <c r="E375" s="27">
        <v>47.74</v>
      </c>
      <c r="F375" s="28">
        <v>0.05</v>
      </c>
      <c r="G375" s="27">
        <v>90.71</v>
      </c>
      <c r="H375" s="27">
        <v>18.14</v>
      </c>
      <c r="I375" s="27">
        <v>108.85</v>
      </c>
      <c r="J375" s="29" cm="1">
        <f t="array" ref="J375">INDEX(Commandes!$B$2:$B$421,MATCH(B375,Commandes!$A$2:$A$421,0))</f>
        <v>46009</v>
      </c>
    </row>
    <row r="376" spans="1:10">
      <c r="A376" t="s">
        <v>1344</v>
      </c>
      <c r="B376" t="s">
        <v>690</v>
      </c>
      <c r="C376" t="s">
        <v>387</v>
      </c>
      <c r="D376">
        <v>2</v>
      </c>
      <c r="E376" s="27">
        <v>37.91</v>
      </c>
      <c r="F376" s="28">
        <v>0</v>
      </c>
      <c r="G376" s="27">
        <v>75.82</v>
      </c>
      <c r="H376" s="27">
        <v>15.16</v>
      </c>
      <c r="I376" s="27">
        <v>90.98</v>
      </c>
      <c r="J376" s="29" cm="1">
        <f t="array" ref="J376">INDEX(Commandes!$B$2:$B$421,MATCH(B376,Commandes!$A$2:$A$421,0))</f>
        <v>46009</v>
      </c>
    </row>
    <row r="377" spans="1:10">
      <c r="A377" t="s">
        <v>1345</v>
      </c>
      <c r="B377" t="s">
        <v>691</v>
      </c>
      <c r="C377" t="s">
        <v>412</v>
      </c>
      <c r="D377">
        <v>3</v>
      </c>
      <c r="E377" s="27">
        <v>114.1</v>
      </c>
      <c r="F377" s="28">
        <v>0.15</v>
      </c>
      <c r="G377" s="27">
        <v>290.95</v>
      </c>
      <c r="H377" s="27">
        <v>58.19</v>
      </c>
      <c r="I377" s="27">
        <v>349.14</v>
      </c>
      <c r="J377" s="29" cm="1">
        <f t="array" ref="J377">INDEX(Commandes!$B$2:$B$421,MATCH(B377,Commandes!$A$2:$A$421,0))</f>
        <v>45754</v>
      </c>
    </row>
    <row r="378" spans="1:10">
      <c r="A378" t="s">
        <v>1346</v>
      </c>
      <c r="B378" t="s">
        <v>691</v>
      </c>
      <c r="C378" t="s">
        <v>452</v>
      </c>
      <c r="D378">
        <v>1</v>
      </c>
      <c r="E378" s="27">
        <v>381.57</v>
      </c>
      <c r="F378" s="28">
        <v>0</v>
      </c>
      <c r="G378" s="27">
        <v>381.57</v>
      </c>
      <c r="H378" s="27">
        <v>76.31</v>
      </c>
      <c r="I378" s="27">
        <v>457.88</v>
      </c>
      <c r="J378" s="29" cm="1">
        <f t="array" ref="J378">INDEX(Commandes!$B$2:$B$421,MATCH(B378,Commandes!$A$2:$A$421,0))</f>
        <v>45754</v>
      </c>
    </row>
    <row r="379" spans="1:10">
      <c r="A379" t="s">
        <v>1347</v>
      </c>
      <c r="B379" t="s">
        <v>691</v>
      </c>
      <c r="C379" t="s">
        <v>391</v>
      </c>
      <c r="D379">
        <v>1</v>
      </c>
      <c r="E379" s="27">
        <v>138.13</v>
      </c>
      <c r="F379" s="28">
        <v>0</v>
      </c>
      <c r="G379" s="27">
        <v>138.13</v>
      </c>
      <c r="H379" s="27">
        <v>27.63</v>
      </c>
      <c r="I379" s="27">
        <v>165.76</v>
      </c>
      <c r="J379" s="29" cm="1">
        <f t="array" ref="J379">INDEX(Commandes!$B$2:$B$421,MATCH(B379,Commandes!$A$2:$A$421,0))</f>
        <v>45754</v>
      </c>
    </row>
    <row r="380" spans="1:10">
      <c r="A380" t="s">
        <v>1348</v>
      </c>
      <c r="B380" t="s">
        <v>692</v>
      </c>
      <c r="C380" t="s">
        <v>425</v>
      </c>
      <c r="D380">
        <v>4</v>
      </c>
      <c r="E380" s="27">
        <v>36.08</v>
      </c>
      <c r="F380" s="28">
        <v>0.1</v>
      </c>
      <c r="G380" s="27">
        <v>129.89</v>
      </c>
      <c r="H380" s="27">
        <v>25.98</v>
      </c>
      <c r="I380" s="27">
        <v>155.87</v>
      </c>
      <c r="J380" s="29" cm="1">
        <f t="array" ref="J380">INDEX(Commandes!$B$2:$B$421,MATCH(B380,Commandes!$A$2:$A$421,0))</f>
        <v>45656</v>
      </c>
    </row>
    <row r="381" spans="1:10">
      <c r="A381" t="s">
        <v>1349</v>
      </c>
      <c r="B381" t="s">
        <v>693</v>
      </c>
      <c r="C381" t="s">
        <v>475</v>
      </c>
      <c r="D381">
        <v>10</v>
      </c>
      <c r="E381" s="27">
        <v>42</v>
      </c>
      <c r="F381" s="28">
        <v>0</v>
      </c>
      <c r="G381" s="27">
        <v>420</v>
      </c>
      <c r="H381" s="27">
        <v>84</v>
      </c>
      <c r="I381" s="27">
        <v>504</v>
      </c>
      <c r="J381" s="29" cm="1">
        <f t="array" ref="J381">INDEX(Commandes!$B$2:$B$421,MATCH(B381,Commandes!$A$2:$A$421,0))</f>
        <v>45855</v>
      </c>
    </row>
    <row r="382" spans="1:10">
      <c r="A382" t="s">
        <v>1350</v>
      </c>
      <c r="B382" t="s">
        <v>694</v>
      </c>
      <c r="C382" t="s">
        <v>377</v>
      </c>
      <c r="D382">
        <v>1</v>
      </c>
      <c r="E382" s="27">
        <v>84.94</v>
      </c>
      <c r="F382" s="28">
        <v>0</v>
      </c>
      <c r="G382" s="27">
        <v>84.94</v>
      </c>
      <c r="H382" s="27">
        <v>16.99</v>
      </c>
      <c r="I382" s="27">
        <v>101.93</v>
      </c>
      <c r="J382" s="29" cm="1">
        <f t="array" ref="J382">INDEX(Commandes!$B$2:$B$421,MATCH(B382,Commandes!$A$2:$A$421,0))</f>
        <v>45494</v>
      </c>
    </row>
    <row r="383" spans="1:10">
      <c r="A383" t="s">
        <v>1351</v>
      </c>
      <c r="B383" t="s">
        <v>694</v>
      </c>
      <c r="C383" t="s">
        <v>398</v>
      </c>
      <c r="D383">
        <v>4</v>
      </c>
      <c r="E383" s="27">
        <v>383.91</v>
      </c>
      <c r="F383" s="28">
        <v>0.05</v>
      </c>
      <c r="G383" s="27">
        <v>1458.86</v>
      </c>
      <c r="H383" s="27">
        <v>291.77</v>
      </c>
      <c r="I383" s="27">
        <v>1750.63</v>
      </c>
      <c r="J383" s="29" cm="1">
        <f t="array" ref="J383">INDEX(Commandes!$B$2:$B$421,MATCH(B383,Commandes!$A$2:$A$421,0))</f>
        <v>45494</v>
      </c>
    </row>
    <row r="384" spans="1:10">
      <c r="A384" t="s">
        <v>1352</v>
      </c>
      <c r="B384" t="s">
        <v>694</v>
      </c>
      <c r="C384" t="s">
        <v>389</v>
      </c>
      <c r="D384">
        <v>1</v>
      </c>
      <c r="E384" s="27">
        <v>120.37</v>
      </c>
      <c r="F384" s="28">
        <v>0</v>
      </c>
      <c r="G384" s="27">
        <v>120.37</v>
      </c>
      <c r="H384" s="27">
        <v>24.07</v>
      </c>
      <c r="I384" s="27">
        <v>144.44</v>
      </c>
      <c r="J384" s="29" cm="1">
        <f t="array" ref="J384">INDEX(Commandes!$B$2:$B$421,MATCH(B384,Commandes!$A$2:$A$421,0))</f>
        <v>45494</v>
      </c>
    </row>
    <row r="385" spans="1:10">
      <c r="A385" t="s">
        <v>1353</v>
      </c>
      <c r="B385" t="s">
        <v>694</v>
      </c>
      <c r="C385" t="s">
        <v>387</v>
      </c>
      <c r="D385">
        <v>1</v>
      </c>
      <c r="E385" s="27">
        <v>37.91</v>
      </c>
      <c r="F385" s="28">
        <v>0.05</v>
      </c>
      <c r="G385" s="27">
        <v>36.01</v>
      </c>
      <c r="H385" s="27">
        <v>7.2</v>
      </c>
      <c r="I385" s="27">
        <v>43.21</v>
      </c>
      <c r="J385" s="29" cm="1">
        <f t="array" ref="J385">INDEX(Commandes!$B$2:$B$421,MATCH(B385,Commandes!$A$2:$A$421,0))</f>
        <v>45494</v>
      </c>
    </row>
    <row r="386" spans="1:10">
      <c r="A386" t="s">
        <v>1354</v>
      </c>
      <c r="B386" t="s">
        <v>695</v>
      </c>
      <c r="C386" t="s">
        <v>463</v>
      </c>
      <c r="D386">
        <v>1</v>
      </c>
      <c r="E386" s="27">
        <v>73.02</v>
      </c>
      <c r="F386" s="28">
        <v>0</v>
      </c>
      <c r="G386" s="27">
        <v>73.02</v>
      </c>
      <c r="H386" s="27">
        <v>14.6</v>
      </c>
      <c r="I386" s="27">
        <v>87.62</v>
      </c>
      <c r="J386" s="29" cm="1">
        <f t="array" ref="J386">INDEX(Commandes!$B$2:$B$421,MATCH(B386,Commandes!$A$2:$A$421,0))</f>
        <v>45343</v>
      </c>
    </row>
    <row r="387" spans="1:10">
      <c r="A387" t="s">
        <v>1355</v>
      </c>
      <c r="B387" t="s">
        <v>696</v>
      </c>
      <c r="C387" t="s">
        <v>454</v>
      </c>
      <c r="D387">
        <v>1</v>
      </c>
      <c r="E387" s="27">
        <v>375.86</v>
      </c>
      <c r="F387" s="28">
        <v>0</v>
      </c>
      <c r="G387" s="27">
        <v>375.86</v>
      </c>
      <c r="H387" s="27">
        <v>75.17</v>
      </c>
      <c r="I387" s="27">
        <v>451.03</v>
      </c>
      <c r="J387" s="29" cm="1">
        <f t="array" ref="J387">INDEX(Commandes!$B$2:$B$421,MATCH(B387,Commandes!$A$2:$A$421,0))</f>
        <v>45511</v>
      </c>
    </row>
    <row r="388" spans="1:10">
      <c r="A388" t="s">
        <v>1356</v>
      </c>
      <c r="B388" t="s">
        <v>696</v>
      </c>
      <c r="C388" t="s">
        <v>438</v>
      </c>
      <c r="D388">
        <v>1</v>
      </c>
      <c r="E388" s="27">
        <v>295.97</v>
      </c>
      <c r="F388" s="28">
        <v>0.1</v>
      </c>
      <c r="G388" s="27">
        <v>266.37</v>
      </c>
      <c r="H388" s="27">
        <v>53.27</v>
      </c>
      <c r="I388" s="27">
        <v>319.64</v>
      </c>
      <c r="J388" s="29" cm="1">
        <f t="array" ref="J388">INDEX(Commandes!$B$2:$B$421,MATCH(B388,Commandes!$A$2:$A$421,0))</f>
        <v>45511</v>
      </c>
    </row>
    <row r="389" spans="1:10">
      <c r="A389" t="s">
        <v>1357</v>
      </c>
      <c r="B389" t="s">
        <v>697</v>
      </c>
      <c r="C389" t="s">
        <v>442</v>
      </c>
      <c r="D389">
        <v>1</v>
      </c>
      <c r="E389" s="27">
        <v>374.59</v>
      </c>
      <c r="F389" s="28">
        <v>0.1</v>
      </c>
      <c r="G389" s="27">
        <v>337.13</v>
      </c>
      <c r="H389" s="27">
        <v>67.43</v>
      </c>
      <c r="I389" s="27">
        <v>404.56</v>
      </c>
      <c r="J389" s="29" cm="1">
        <f t="array" ref="J389">INDEX(Commandes!$B$2:$B$421,MATCH(B389,Commandes!$A$2:$A$421,0))</f>
        <v>45782</v>
      </c>
    </row>
    <row r="390" spans="1:10">
      <c r="A390" t="s">
        <v>1358</v>
      </c>
      <c r="B390" t="s">
        <v>697</v>
      </c>
      <c r="C390" t="s">
        <v>370</v>
      </c>
      <c r="D390">
        <v>10</v>
      </c>
      <c r="E390" s="27">
        <v>970.58</v>
      </c>
      <c r="F390" s="28">
        <v>0.15</v>
      </c>
      <c r="G390" s="27">
        <v>8249.93</v>
      </c>
      <c r="H390" s="27">
        <v>1649.99</v>
      </c>
      <c r="I390" s="27">
        <v>9899.92</v>
      </c>
      <c r="J390" s="29" cm="1">
        <f t="array" ref="J390">INDEX(Commandes!$B$2:$B$421,MATCH(B390,Commandes!$A$2:$A$421,0))</f>
        <v>45782</v>
      </c>
    </row>
    <row r="391" spans="1:10">
      <c r="A391" t="s">
        <v>1359</v>
      </c>
      <c r="B391" t="s">
        <v>698</v>
      </c>
      <c r="C391" t="s">
        <v>370</v>
      </c>
      <c r="D391">
        <v>1</v>
      </c>
      <c r="E391" s="27">
        <v>970.58</v>
      </c>
      <c r="F391" s="28">
        <v>0</v>
      </c>
      <c r="G391" s="27">
        <v>970.58</v>
      </c>
      <c r="H391" s="27">
        <v>194.12</v>
      </c>
      <c r="I391" s="27">
        <v>1164.7</v>
      </c>
      <c r="J391" s="29" cm="1">
        <f t="array" ref="J391">INDEX(Commandes!$B$2:$B$421,MATCH(B391,Commandes!$A$2:$A$421,0))</f>
        <v>45659</v>
      </c>
    </row>
    <row r="392" spans="1:10">
      <c r="A392" t="s">
        <v>1360</v>
      </c>
      <c r="B392" t="s">
        <v>699</v>
      </c>
      <c r="C392" t="s">
        <v>402</v>
      </c>
      <c r="D392">
        <v>8</v>
      </c>
      <c r="E392" s="27">
        <v>26.57</v>
      </c>
      <c r="F392" s="28">
        <v>0</v>
      </c>
      <c r="G392" s="27">
        <v>212.56</v>
      </c>
      <c r="H392" s="27">
        <v>42.51</v>
      </c>
      <c r="I392" s="27">
        <v>255.07</v>
      </c>
      <c r="J392" s="29" cm="1">
        <f t="array" ref="J392">INDEX(Commandes!$B$2:$B$421,MATCH(B392,Commandes!$A$2:$A$421,0))</f>
        <v>45322</v>
      </c>
    </row>
    <row r="393" spans="1:10">
      <c r="A393" t="s">
        <v>1361</v>
      </c>
      <c r="B393" t="s">
        <v>699</v>
      </c>
      <c r="C393" t="s">
        <v>404</v>
      </c>
      <c r="D393">
        <v>2</v>
      </c>
      <c r="E393" s="27">
        <v>30.09</v>
      </c>
      <c r="F393" s="28">
        <v>0</v>
      </c>
      <c r="G393" s="27">
        <v>60.18</v>
      </c>
      <c r="H393" s="27">
        <v>12.04</v>
      </c>
      <c r="I393" s="27">
        <v>72.22</v>
      </c>
      <c r="J393" s="29" cm="1">
        <f t="array" ref="J393">INDEX(Commandes!$B$2:$B$421,MATCH(B393,Commandes!$A$2:$A$421,0))</f>
        <v>45322</v>
      </c>
    </row>
    <row r="394" spans="1:10">
      <c r="A394" t="s">
        <v>1362</v>
      </c>
      <c r="B394" t="s">
        <v>699</v>
      </c>
      <c r="C394" t="s">
        <v>444</v>
      </c>
      <c r="D394">
        <v>3</v>
      </c>
      <c r="E394" s="27">
        <v>442.3</v>
      </c>
      <c r="F394" s="28">
        <v>0.15</v>
      </c>
      <c r="G394" s="27">
        <v>1127.87</v>
      </c>
      <c r="H394" s="27">
        <v>225.57</v>
      </c>
      <c r="I394" s="27">
        <v>1353.44</v>
      </c>
      <c r="J394" s="29" cm="1">
        <f t="array" ref="J394">INDEX(Commandes!$B$2:$B$421,MATCH(B394,Commandes!$A$2:$A$421,0))</f>
        <v>45322</v>
      </c>
    </row>
    <row r="395" spans="1:10">
      <c r="A395" t="s">
        <v>1363</v>
      </c>
      <c r="B395" t="s">
        <v>700</v>
      </c>
      <c r="C395" t="s">
        <v>414</v>
      </c>
      <c r="D395">
        <v>3</v>
      </c>
      <c r="E395" s="27">
        <v>63.96</v>
      </c>
      <c r="F395" s="28">
        <v>0.15</v>
      </c>
      <c r="G395" s="27">
        <v>163.1</v>
      </c>
      <c r="H395" s="27">
        <v>32.62</v>
      </c>
      <c r="I395" s="27">
        <v>195.72</v>
      </c>
      <c r="J395" s="29" cm="1">
        <f t="array" ref="J395">INDEX(Commandes!$B$2:$B$421,MATCH(B395,Commandes!$A$2:$A$421,0))</f>
        <v>45349</v>
      </c>
    </row>
    <row r="396" spans="1:10">
      <c r="A396" t="s">
        <v>1364</v>
      </c>
      <c r="B396" t="s">
        <v>701</v>
      </c>
      <c r="C396" t="s">
        <v>398</v>
      </c>
      <c r="D396">
        <v>3</v>
      </c>
      <c r="E396" s="27">
        <v>383.91</v>
      </c>
      <c r="F396" s="28">
        <v>0.05</v>
      </c>
      <c r="G396" s="27">
        <v>1094.14</v>
      </c>
      <c r="H396" s="27">
        <v>218.83</v>
      </c>
      <c r="I396" s="27">
        <v>1312.97</v>
      </c>
      <c r="J396" s="29" cm="1">
        <f t="array" ref="J396">INDEX(Commandes!$B$2:$B$421,MATCH(B396,Commandes!$A$2:$A$421,0))</f>
        <v>45659</v>
      </c>
    </row>
    <row r="397" spans="1:10">
      <c r="A397" t="s">
        <v>1365</v>
      </c>
      <c r="B397" t="s">
        <v>701</v>
      </c>
      <c r="C397" t="s">
        <v>444</v>
      </c>
      <c r="D397">
        <v>1</v>
      </c>
      <c r="E397" s="27">
        <v>442.3</v>
      </c>
      <c r="F397" s="28">
        <v>0.05</v>
      </c>
      <c r="G397" s="27">
        <v>420.19</v>
      </c>
      <c r="H397" s="27">
        <v>84.04</v>
      </c>
      <c r="I397" s="27">
        <v>504.23</v>
      </c>
      <c r="J397" s="29" cm="1">
        <f t="array" ref="J397">INDEX(Commandes!$B$2:$B$421,MATCH(B397,Commandes!$A$2:$A$421,0))</f>
        <v>45659</v>
      </c>
    </row>
    <row r="398" spans="1:10">
      <c r="A398" t="s">
        <v>1366</v>
      </c>
      <c r="B398" t="s">
        <v>702</v>
      </c>
      <c r="C398" t="s">
        <v>454</v>
      </c>
      <c r="D398">
        <v>1</v>
      </c>
      <c r="E398" s="27">
        <v>375.86</v>
      </c>
      <c r="F398" s="28">
        <v>0</v>
      </c>
      <c r="G398" s="27">
        <v>375.86</v>
      </c>
      <c r="H398" s="27">
        <v>75.17</v>
      </c>
      <c r="I398" s="27">
        <v>451.03</v>
      </c>
      <c r="J398" s="29" cm="1">
        <f t="array" ref="J398">INDEX(Commandes!$B$2:$B$421,MATCH(B398,Commandes!$A$2:$A$421,0))</f>
        <v>45330</v>
      </c>
    </row>
    <row r="399" spans="1:10">
      <c r="A399" t="s">
        <v>1367</v>
      </c>
      <c r="B399" t="s">
        <v>703</v>
      </c>
      <c r="C399" t="s">
        <v>442</v>
      </c>
      <c r="D399">
        <v>4</v>
      </c>
      <c r="E399" s="27">
        <v>374.59</v>
      </c>
      <c r="F399" s="28">
        <v>0</v>
      </c>
      <c r="G399" s="27">
        <v>1498.36</v>
      </c>
      <c r="H399" s="27">
        <v>299.67</v>
      </c>
      <c r="I399" s="27">
        <v>1798.03</v>
      </c>
      <c r="J399" s="29" cm="1">
        <f t="array" ref="J399">INDEX(Commandes!$B$2:$B$421,MATCH(B399,Commandes!$A$2:$A$421,0))</f>
        <v>45640</v>
      </c>
    </row>
    <row r="400" spans="1:10">
      <c r="A400" t="s">
        <v>1368</v>
      </c>
      <c r="B400" t="s">
        <v>703</v>
      </c>
      <c r="C400" t="s">
        <v>421</v>
      </c>
      <c r="D400">
        <v>3</v>
      </c>
      <c r="E400" s="27">
        <v>78.78</v>
      </c>
      <c r="F400" s="28">
        <v>0.15</v>
      </c>
      <c r="G400" s="27">
        <v>200.89</v>
      </c>
      <c r="H400" s="27">
        <v>40.18</v>
      </c>
      <c r="I400" s="27">
        <v>241.07</v>
      </c>
      <c r="J400" s="29" cm="1">
        <f t="array" ref="J400">INDEX(Commandes!$B$2:$B$421,MATCH(B400,Commandes!$A$2:$A$421,0))</f>
        <v>45640</v>
      </c>
    </row>
    <row r="401" spans="1:10">
      <c r="A401" t="s">
        <v>1369</v>
      </c>
      <c r="B401" t="s">
        <v>703</v>
      </c>
      <c r="C401" t="s">
        <v>425</v>
      </c>
      <c r="D401">
        <v>2</v>
      </c>
      <c r="E401" s="27">
        <v>36.08</v>
      </c>
      <c r="F401" s="28">
        <v>0</v>
      </c>
      <c r="G401" s="27">
        <v>72.16</v>
      </c>
      <c r="H401" s="27">
        <v>14.43</v>
      </c>
      <c r="I401" s="27">
        <v>86.59</v>
      </c>
      <c r="J401" s="29" cm="1">
        <f t="array" ref="J401">INDEX(Commandes!$B$2:$B$421,MATCH(B401,Commandes!$A$2:$A$421,0))</f>
        <v>45640</v>
      </c>
    </row>
    <row r="402" spans="1:10">
      <c r="A402" t="s">
        <v>1370</v>
      </c>
      <c r="B402" t="s">
        <v>704</v>
      </c>
      <c r="C402" t="s">
        <v>396</v>
      </c>
      <c r="D402">
        <v>3</v>
      </c>
      <c r="E402" s="27">
        <v>225.64</v>
      </c>
      <c r="F402" s="28">
        <v>0.1</v>
      </c>
      <c r="G402" s="27">
        <v>609.23</v>
      </c>
      <c r="H402" s="27">
        <v>121.85</v>
      </c>
      <c r="I402" s="27">
        <v>731.08</v>
      </c>
      <c r="J402" s="29" cm="1">
        <f t="array" ref="J402">INDEX(Commandes!$B$2:$B$421,MATCH(B402,Commandes!$A$2:$A$421,0))</f>
        <v>45601</v>
      </c>
    </row>
    <row r="403" spans="1:10">
      <c r="A403" t="s">
        <v>1371</v>
      </c>
      <c r="B403" t="s">
        <v>704</v>
      </c>
      <c r="C403" t="s">
        <v>465</v>
      </c>
      <c r="D403">
        <v>4</v>
      </c>
      <c r="E403" s="27">
        <v>44.16</v>
      </c>
      <c r="F403" s="28">
        <v>0.1</v>
      </c>
      <c r="G403" s="27">
        <v>158.98</v>
      </c>
      <c r="H403" s="27">
        <v>31.8</v>
      </c>
      <c r="I403" s="27">
        <v>190.78</v>
      </c>
      <c r="J403" s="29" cm="1">
        <f t="array" ref="J403">INDEX(Commandes!$B$2:$B$421,MATCH(B403,Commandes!$A$2:$A$421,0))</f>
        <v>45601</v>
      </c>
    </row>
    <row r="404" spans="1:10">
      <c r="A404" t="s">
        <v>1372</v>
      </c>
      <c r="B404" t="s">
        <v>705</v>
      </c>
      <c r="C404" t="s">
        <v>366</v>
      </c>
      <c r="D404">
        <v>5</v>
      </c>
      <c r="E404" s="27">
        <v>1103.64</v>
      </c>
      <c r="F404" s="28">
        <v>0.1</v>
      </c>
      <c r="G404" s="27">
        <v>4966.38</v>
      </c>
      <c r="H404" s="27">
        <v>993.28</v>
      </c>
      <c r="I404" s="27">
        <v>5959.66</v>
      </c>
      <c r="J404" s="29" cm="1">
        <f t="array" ref="J404">INDEX(Commandes!$B$2:$B$421,MATCH(B404,Commandes!$A$2:$A$421,0))</f>
        <v>45657</v>
      </c>
    </row>
    <row r="405" spans="1:10">
      <c r="A405" t="s">
        <v>1373</v>
      </c>
      <c r="B405" t="s">
        <v>706</v>
      </c>
      <c r="C405" t="s">
        <v>383</v>
      </c>
      <c r="D405">
        <v>5</v>
      </c>
      <c r="E405" s="27">
        <v>39.08</v>
      </c>
      <c r="F405" s="28">
        <v>0</v>
      </c>
      <c r="G405" s="27">
        <v>195.4</v>
      </c>
      <c r="H405" s="27">
        <v>39.08</v>
      </c>
      <c r="I405" s="27">
        <v>234.48</v>
      </c>
      <c r="J405" s="29" cm="1">
        <f t="array" ref="J405">INDEX(Commandes!$B$2:$B$421,MATCH(B405,Commandes!$A$2:$A$421,0))</f>
        <v>45692</v>
      </c>
    </row>
    <row r="406" spans="1:10">
      <c r="A406" t="s">
        <v>1374</v>
      </c>
      <c r="B406" t="s">
        <v>706</v>
      </c>
      <c r="C406" t="s">
        <v>417</v>
      </c>
      <c r="D406">
        <v>3</v>
      </c>
      <c r="E406" s="27">
        <v>59.79</v>
      </c>
      <c r="F406" s="28">
        <v>0</v>
      </c>
      <c r="G406" s="27">
        <v>179.37</v>
      </c>
      <c r="H406" s="27">
        <v>35.87</v>
      </c>
      <c r="I406" s="27">
        <v>215.24</v>
      </c>
      <c r="J406" s="29" cm="1">
        <f t="array" ref="J406">INDEX(Commandes!$B$2:$B$421,MATCH(B406,Commandes!$A$2:$A$421,0))</f>
        <v>45692</v>
      </c>
    </row>
    <row r="407" spans="1:10">
      <c r="A407" t="s">
        <v>1375</v>
      </c>
      <c r="B407" t="s">
        <v>707</v>
      </c>
      <c r="C407" t="s">
        <v>400</v>
      </c>
      <c r="D407">
        <v>1</v>
      </c>
      <c r="E407" s="27">
        <v>328.03</v>
      </c>
      <c r="F407" s="28">
        <v>0</v>
      </c>
      <c r="G407" s="27">
        <v>328.03</v>
      </c>
      <c r="H407" s="27">
        <v>65.61</v>
      </c>
      <c r="I407" s="27">
        <v>393.64</v>
      </c>
      <c r="J407" s="29" cm="1">
        <f t="array" ref="J407">INDEX(Commandes!$B$2:$B$421,MATCH(B407,Commandes!$A$2:$A$421,0))</f>
        <v>45647</v>
      </c>
    </row>
    <row r="408" spans="1:10">
      <c r="A408" t="s">
        <v>1376</v>
      </c>
      <c r="B408" t="s">
        <v>708</v>
      </c>
      <c r="C408" t="s">
        <v>427</v>
      </c>
      <c r="D408">
        <v>2</v>
      </c>
      <c r="E408" s="27">
        <v>25.25</v>
      </c>
      <c r="F408" s="28">
        <v>0.05</v>
      </c>
      <c r="G408" s="27">
        <v>47.97</v>
      </c>
      <c r="H408" s="27">
        <v>9.59</v>
      </c>
      <c r="I408" s="27">
        <v>57.56</v>
      </c>
      <c r="J408" s="29" cm="1">
        <f t="array" ref="J408">INDEX(Commandes!$B$2:$B$421,MATCH(B408,Commandes!$A$2:$A$421,0))</f>
        <v>45650</v>
      </c>
    </row>
    <row r="409" spans="1:10">
      <c r="A409" t="s">
        <v>1377</v>
      </c>
      <c r="B409" t="s">
        <v>708</v>
      </c>
      <c r="C409" t="s">
        <v>419</v>
      </c>
      <c r="D409">
        <v>2</v>
      </c>
      <c r="E409" s="27">
        <v>100.34</v>
      </c>
      <c r="F409" s="28">
        <v>0</v>
      </c>
      <c r="G409" s="27">
        <v>200.68</v>
      </c>
      <c r="H409" s="27">
        <v>40.14</v>
      </c>
      <c r="I409" s="27">
        <v>240.82</v>
      </c>
      <c r="J409" s="29" cm="1">
        <f t="array" ref="J409">INDEX(Commandes!$B$2:$B$421,MATCH(B409,Commandes!$A$2:$A$421,0))</f>
        <v>45650</v>
      </c>
    </row>
    <row r="410" spans="1:10">
      <c r="A410" t="s">
        <v>1378</v>
      </c>
      <c r="B410" t="s">
        <v>708</v>
      </c>
      <c r="C410" t="s">
        <v>435</v>
      </c>
      <c r="D410">
        <v>3</v>
      </c>
      <c r="E410" s="27">
        <v>262.34</v>
      </c>
      <c r="F410" s="28">
        <v>0.1</v>
      </c>
      <c r="G410" s="27">
        <v>708.32</v>
      </c>
      <c r="H410" s="27">
        <v>141.66</v>
      </c>
      <c r="I410" s="27">
        <v>849.98</v>
      </c>
      <c r="J410" s="29" cm="1">
        <f t="array" ref="J410">INDEX(Commandes!$B$2:$B$421,MATCH(B410,Commandes!$A$2:$A$421,0))</f>
        <v>45650</v>
      </c>
    </row>
    <row r="411" spans="1:10">
      <c r="A411" t="s">
        <v>1379</v>
      </c>
      <c r="B411" t="s">
        <v>708</v>
      </c>
      <c r="C411" t="s">
        <v>459</v>
      </c>
      <c r="D411">
        <v>3</v>
      </c>
      <c r="E411" s="27">
        <v>70.8</v>
      </c>
      <c r="F411" s="28">
        <v>0</v>
      </c>
      <c r="G411" s="27">
        <v>212.4</v>
      </c>
      <c r="H411" s="27">
        <v>42.48</v>
      </c>
      <c r="I411" s="27">
        <v>254.88</v>
      </c>
      <c r="J411" s="29" cm="1">
        <f t="array" ref="J411">INDEX(Commandes!$B$2:$B$421,MATCH(B411,Commandes!$A$2:$A$421,0))</f>
        <v>45650</v>
      </c>
    </row>
    <row r="412" spans="1:10">
      <c r="A412" t="s">
        <v>1380</v>
      </c>
      <c r="B412" t="s">
        <v>708</v>
      </c>
      <c r="C412" t="s">
        <v>393</v>
      </c>
      <c r="D412">
        <v>2</v>
      </c>
      <c r="E412" s="27">
        <v>196.18</v>
      </c>
      <c r="F412" s="28">
        <v>0</v>
      </c>
      <c r="G412" s="27">
        <v>392.36</v>
      </c>
      <c r="H412" s="27">
        <v>78.47</v>
      </c>
      <c r="I412" s="27">
        <v>470.83</v>
      </c>
      <c r="J412" s="29" cm="1">
        <f t="array" ref="J412">INDEX(Commandes!$B$2:$B$421,MATCH(B412,Commandes!$A$2:$A$421,0))</f>
        <v>45650</v>
      </c>
    </row>
    <row r="413" spans="1:10">
      <c r="A413" t="s">
        <v>1381</v>
      </c>
      <c r="B413" t="s">
        <v>709</v>
      </c>
      <c r="C413" t="s">
        <v>423</v>
      </c>
      <c r="D413">
        <v>1</v>
      </c>
      <c r="E413" s="27">
        <v>46.02</v>
      </c>
      <c r="F413" s="28">
        <v>0</v>
      </c>
      <c r="G413" s="27">
        <v>46.02</v>
      </c>
      <c r="H413" s="27">
        <v>9.2</v>
      </c>
      <c r="I413" s="27">
        <v>55.22</v>
      </c>
      <c r="J413" s="29" cm="1">
        <f t="array" ref="J413">INDEX(Commandes!$B$2:$B$421,MATCH(B413,Commandes!$A$2:$A$421,0))</f>
        <v>45593</v>
      </c>
    </row>
    <row r="414" spans="1:10">
      <c r="A414" t="s">
        <v>1382</v>
      </c>
      <c r="B414" t="s">
        <v>710</v>
      </c>
      <c r="C414" t="s">
        <v>459</v>
      </c>
      <c r="D414">
        <v>1</v>
      </c>
      <c r="E414" s="27">
        <v>70.8</v>
      </c>
      <c r="F414" s="28">
        <v>0.05</v>
      </c>
      <c r="G414" s="27">
        <v>67.26</v>
      </c>
      <c r="H414" s="27">
        <v>13.45</v>
      </c>
      <c r="I414" s="27">
        <v>80.71</v>
      </c>
      <c r="J414" s="29" cm="1">
        <f t="array" ref="J414">INDEX(Commandes!$B$2:$B$421,MATCH(B414,Commandes!$A$2:$A$421,0))</f>
        <v>45852</v>
      </c>
    </row>
    <row r="415" spans="1:10">
      <c r="A415" t="s">
        <v>1383</v>
      </c>
      <c r="B415" t="s">
        <v>710</v>
      </c>
      <c r="C415" t="s">
        <v>393</v>
      </c>
      <c r="D415">
        <v>1</v>
      </c>
      <c r="E415" s="27">
        <v>196.18</v>
      </c>
      <c r="F415" s="28">
        <v>0</v>
      </c>
      <c r="G415" s="27">
        <v>196.18</v>
      </c>
      <c r="H415" s="27">
        <v>39.24</v>
      </c>
      <c r="I415" s="27">
        <v>235.42</v>
      </c>
      <c r="J415" s="29" cm="1">
        <f t="array" ref="J415">INDEX(Commandes!$B$2:$B$421,MATCH(B415,Commandes!$A$2:$A$421,0))</f>
        <v>45852</v>
      </c>
    </row>
    <row r="416" spans="1:10">
      <c r="A416" t="s">
        <v>1384</v>
      </c>
      <c r="B416" t="s">
        <v>711</v>
      </c>
      <c r="C416" t="s">
        <v>425</v>
      </c>
      <c r="D416">
        <v>2</v>
      </c>
      <c r="E416" s="27">
        <v>36.08</v>
      </c>
      <c r="F416" s="28">
        <v>0.05</v>
      </c>
      <c r="G416" s="27">
        <v>68.55</v>
      </c>
      <c r="H416" s="27">
        <v>13.71</v>
      </c>
      <c r="I416" s="27">
        <v>82.26</v>
      </c>
      <c r="J416" s="29" cm="1">
        <f t="array" ref="J416">INDEX(Commandes!$B$2:$B$421,MATCH(B416,Commandes!$A$2:$A$421,0))</f>
        <v>45502</v>
      </c>
    </row>
    <row r="417" spans="1:10">
      <c r="A417" t="s">
        <v>1385</v>
      </c>
      <c r="B417" t="s">
        <v>712</v>
      </c>
      <c r="C417" t="s">
        <v>370</v>
      </c>
      <c r="D417">
        <v>1</v>
      </c>
      <c r="E417" s="27">
        <v>970.58</v>
      </c>
      <c r="F417" s="28">
        <v>0.15</v>
      </c>
      <c r="G417" s="27">
        <v>824.99</v>
      </c>
      <c r="H417" s="27">
        <v>165</v>
      </c>
      <c r="I417" s="27">
        <v>989.99</v>
      </c>
      <c r="J417" s="29" cm="1">
        <f t="array" ref="J417">INDEX(Commandes!$B$2:$B$421,MATCH(B417,Commandes!$A$2:$A$421,0))</f>
        <v>45449</v>
      </c>
    </row>
    <row r="418" spans="1:10">
      <c r="A418" t="s">
        <v>1386</v>
      </c>
      <c r="B418" t="s">
        <v>713</v>
      </c>
      <c r="C418" t="s">
        <v>461</v>
      </c>
      <c r="D418">
        <v>1</v>
      </c>
      <c r="E418" s="27">
        <v>59.83</v>
      </c>
      <c r="F418" s="28">
        <v>0.15</v>
      </c>
      <c r="G418" s="27">
        <v>50.86</v>
      </c>
      <c r="H418" s="27">
        <v>10.17</v>
      </c>
      <c r="I418" s="27">
        <v>61.03</v>
      </c>
      <c r="J418" s="29" cm="1">
        <f t="array" ref="J418">INDEX(Commandes!$B$2:$B$421,MATCH(B418,Commandes!$A$2:$A$421,0))</f>
        <v>45590</v>
      </c>
    </row>
    <row r="419" spans="1:10">
      <c r="A419" t="s">
        <v>1387</v>
      </c>
      <c r="B419" t="s">
        <v>713</v>
      </c>
      <c r="C419" t="s">
        <v>444</v>
      </c>
      <c r="D419">
        <v>1</v>
      </c>
      <c r="E419" s="27">
        <v>442.3</v>
      </c>
      <c r="F419" s="28">
        <v>0</v>
      </c>
      <c r="G419" s="27">
        <v>442.3</v>
      </c>
      <c r="H419" s="27">
        <v>88.46</v>
      </c>
      <c r="I419" s="27">
        <v>530.76</v>
      </c>
      <c r="J419" s="29" cm="1">
        <f t="array" ref="J419">INDEX(Commandes!$B$2:$B$421,MATCH(B419,Commandes!$A$2:$A$421,0))</f>
        <v>45590</v>
      </c>
    </row>
    <row r="420" spans="1:10">
      <c r="A420" t="s">
        <v>1388</v>
      </c>
      <c r="B420" t="s">
        <v>714</v>
      </c>
      <c r="C420" t="s">
        <v>408</v>
      </c>
      <c r="D420">
        <v>2</v>
      </c>
      <c r="E420" s="27">
        <v>19.65</v>
      </c>
      <c r="F420" s="28">
        <v>0</v>
      </c>
      <c r="G420" s="27">
        <v>39.3</v>
      </c>
      <c r="H420" s="27">
        <v>7.86</v>
      </c>
      <c r="I420" s="27">
        <v>47.16</v>
      </c>
      <c r="J420" s="29" cm="1">
        <f t="array" ref="J420">INDEX(Commandes!$B$2:$B$421,MATCH(B420,Commandes!$A$2:$A$421,0))</f>
        <v>45682</v>
      </c>
    </row>
    <row r="421" spans="1:10">
      <c r="A421" t="s">
        <v>1389</v>
      </c>
      <c r="B421" t="s">
        <v>715</v>
      </c>
      <c r="C421" t="s">
        <v>423</v>
      </c>
      <c r="D421">
        <v>3</v>
      </c>
      <c r="E421" s="27">
        <v>46.02</v>
      </c>
      <c r="F421" s="28">
        <v>0.05</v>
      </c>
      <c r="G421" s="27">
        <v>131.16</v>
      </c>
      <c r="H421" s="27">
        <v>26.23</v>
      </c>
      <c r="I421" s="27">
        <v>157.39</v>
      </c>
      <c r="J421" s="29" cm="1">
        <f t="array" ref="J421">INDEX(Commandes!$B$2:$B$421,MATCH(B421,Commandes!$A$2:$A$421,0))</f>
        <v>46005</v>
      </c>
    </row>
    <row r="422" spans="1:10">
      <c r="A422" t="s">
        <v>1390</v>
      </c>
      <c r="B422" t="s">
        <v>715</v>
      </c>
      <c r="C422" t="s">
        <v>444</v>
      </c>
      <c r="D422">
        <v>2</v>
      </c>
      <c r="E422" s="27">
        <v>442.3</v>
      </c>
      <c r="F422" s="28">
        <v>0.05</v>
      </c>
      <c r="G422" s="27">
        <v>840.37</v>
      </c>
      <c r="H422" s="27">
        <v>168.07</v>
      </c>
      <c r="I422" s="27">
        <v>1008.44</v>
      </c>
      <c r="J422" s="29" cm="1">
        <f t="array" ref="J422">INDEX(Commandes!$B$2:$B$421,MATCH(B422,Commandes!$A$2:$A$421,0))</f>
        <v>46005</v>
      </c>
    </row>
    <row r="423" spans="1:10">
      <c r="A423" t="s">
        <v>1391</v>
      </c>
      <c r="B423" t="s">
        <v>716</v>
      </c>
      <c r="C423" t="s">
        <v>442</v>
      </c>
      <c r="D423">
        <v>3</v>
      </c>
      <c r="E423" s="27">
        <v>374.59</v>
      </c>
      <c r="F423" s="28">
        <v>0.15</v>
      </c>
      <c r="G423" s="27">
        <v>955.2</v>
      </c>
      <c r="H423" s="27">
        <v>191.04</v>
      </c>
      <c r="I423" s="27">
        <v>1146.24</v>
      </c>
      <c r="J423" s="29" cm="1">
        <f t="array" ref="J423">INDEX(Commandes!$B$2:$B$421,MATCH(B423,Commandes!$A$2:$A$421,0))</f>
        <v>45878</v>
      </c>
    </row>
    <row r="424" spans="1:10">
      <c r="A424" t="s">
        <v>1392</v>
      </c>
      <c r="B424" t="s">
        <v>716</v>
      </c>
      <c r="C424" t="s">
        <v>454</v>
      </c>
      <c r="D424">
        <v>1</v>
      </c>
      <c r="E424" s="27">
        <v>375.86</v>
      </c>
      <c r="F424" s="28">
        <v>0.05</v>
      </c>
      <c r="G424" s="27">
        <v>357.07</v>
      </c>
      <c r="H424" s="27">
        <v>71.41</v>
      </c>
      <c r="I424" s="27">
        <v>428.48</v>
      </c>
      <c r="J424" s="29" cm="1">
        <f t="array" ref="J424">INDEX(Commandes!$B$2:$B$421,MATCH(B424,Commandes!$A$2:$A$421,0))</f>
        <v>45878</v>
      </c>
    </row>
    <row r="425" spans="1:10">
      <c r="A425" t="s">
        <v>1393</v>
      </c>
      <c r="B425" t="s">
        <v>717</v>
      </c>
      <c r="C425" t="s">
        <v>429</v>
      </c>
      <c r="D425">
        <v>1</v>
      </c>
      <c r="E425" s="27">
        <v>32.75</v>
      </c>
      <c r="F425" s="28">
        <v>0.15</v>
      </c>
      <c r="G425" s="27">
        <v>27.84</v>
      </c>
      <c r="H425" s="27">
        <v>5.57</v>
      </c>
      <c r="I425" s="27">
        <v>33.41</v>
      </c>
      <c r="J425" s="29" cm="1">
        <f t="array" ref="J425">INDEX(Commandes!$B$2:$B$421,MATCH(B425,Commandes!$A$2:$A$421,0))</f>
        <v>45469</v>
      </c>
    </row>
    <row r="426" spans="1:10">
      <c r="A426" t="s">
        <v>1394</v>
      </c>
      <c r="B426" t="s">
        <v>717</v>
      </c>
      <c r="C426" t="s">
        <v>391</v>
      </c>
      <c r="D426">
        <v>3</v>
      </c>
      <c r="E426" s="27">
        <v>138.13</v>
      </c>
      <c r="F426" s="28">
        <v>0</v>
      </c>
      <c r="G426" s="27">
        <v>414.39</v>
      </c>
      <c r="H426" s="27">
        <v>82.88</v>
      </c>
      <c r="I426" s="27">
        <v>497.27</v>
      </c>
      <c r="J426" s="29" cm="1">
        <f t="array" ref="J426">INDEX(Commandes!$B$2:$B$421,MATCH(B426,Commandes!$A$2:$A$421,0))</f>
        <v>45469</v>
      </c>
    </row>
    <row r="427" spans="1:10">
      <c r="A427" t="s">
        <v>1395</v>
      </c>
      <c r="B427" t="s">
        <v>717</v>
      </c>
      <c r="C427" t="s">
        <v>414</v>
      </c>
      <c r="D427">
        <v>4</v>
      </c>
      <c r="E427" s="27">
        <v>63.96</v>
      </c>
      <c r="F427" s="28">
        <v>0</v>
      </c>
      <c r="G427" s="27">
        <v>255.84</v>
      </c>
      <c r="H427" s="27">
        <v>51.17</v>
      </c>
      <c r="I427" s="27">
        <v>307.01</v>
      </c>
      <c r="J427" s="29" cm="1">
        <f t="array" ref="J427">INDEX(Commandes!$B$2:$B$421,MATCH(B427,Commandes!$A$2:$A$421,0))</f>
        <v>45469</v>
      </c>
    </row>
    <row r="428" spans="1:10">
      <c r="A428" t="s">
        <v>1396</v>
      </c>
      <c r="B428" t="s">
        <v>717</v>
      </c>
      <c r="C428" t="s">
        <v>380</v>
      </c>
      <c r="D428">
        <v>1</v>
      </c>
      <c r="E428" s="27">
        <v>80.3</v>
      </c>
      <c r="F428" s="28">
        <v>0.05</v>
      </c>
      <c r="G428" s="27">
        <v>76.28</v>
      </c>
      <c r="H428" s="27">
        <v>15.26</v>
      </c>
      <c r="I428" s="27">
        <v>91.54</v>
      </c>
      <c r="J428" s="29" cm="1">
        <f t="array" ref="J428">INDEX(Commandes!$B$2:$B$421,MATCH(B428,Commandes!$A$2:$A$421,0))</f>
        <v>45469</v>
      </c>
    </row>
    <row r="429" spans="1:10">
      <c r="A429" t="s">
        <v>1397</v>
      </c>
      <c r="B429" t="s">
        <v>717</v>
      </c>
      <c r="C429" t="s">
        <v>446</v>
      </c>
      <c r="D429">
        <v>1</v>
      </c>
      <c r="E429" s="27">
        <v>454.43</v>
      </c>
      <c r="F429" s="28">
        <v>0</v>
      </c>
      <c r="G429" s="27">
        <v>454.43</v>
      </c>
      <c r="H429" s="27">
        <v>90.89</v>
      </c>
      <c r="I429" s="27">
        <v>545.32</v>
      </c>
      <c r="J429" s="29" cm="1">
        <f t="array" ref="J429">INDEX(Commandes!$B$2:$B$421,MATCH(B429,Commandes!$A$2:$A$421,0))</f>
        <v>45469</v>
      </c>
    </row>
    <row r="430" spans="1:10">
      <c r="A430" t="s">
        <v>1398</v>
      </c>
      <c r="B430" t="s">
        <v>718</v>
      </c>
      <c r="C430" t="s">
        <v>450</v>
      </c>
      <c r="D430">
        <v>3</v>
      </c>
      <c r="E430" s="27">
        <v>538.29</v>
      </c>
      <c r="F430" s="28">
        <v>0</v>
      </c>
      <c r="G430" s="27">
        <v>1614.87</v>
      </c>
      <c r="H430" s="27">
        <v>322.97</v>
      </c>
      <c r="I430" s="27">
        <v>1937.84</v>
      </c>
      <c r="J430" s="29" cm="1">
        <f t="array" ref="J430">INDEX(Commandes!$B$2:$B$421,MATCH(B430,Commandes!$A$2:$A$421,0))</f>
        <v>45824</v>
      </c>
    </row>
    <row r="431" spans="1:10">
      <c r="A431" t="s">
        <v>1399</v>
      </c>
      <c r="B431" t="s">
        <v>718</v>
      </c>
      <c r="C431" t="s">
        <v>383</v>
      </c>
      <c r="D431">
        <v>2</v>
      </c>
      <c r="E431" s="27">
        <v>39.08</v>
      </c>
      <c r="F431" s="28">
        <v>0</v>
      </c>
      <c r="G431" s="27">
        <v>78.16</v>
      </c>
      <c r="H431" s="27">
        <v>15.63</v>
      </c>
      <c r="I431" s="27">
        <v>93.79</v>
      </c>
      <c r="J431" s="29" cm="1">
        <f t="array" ref="J431">INDEX(Commandes!$B$2:$B$421,MATCH(B431,Commandes!$A$2:$A$421,0))</f>
        <v>45824</v>
      </c>
    </row>
    <row r="432" spans="1:10">
      <c r="A432" t="s">
        <v>1400</v>
      </c>
      <c r="B432" t="s">
        <v>719</v>
      </c>
      <c r="C432" t="s">
        <v>448</v>
      </c>
      <c r="D432">
        <v>2</v>
      </c>
      <c r="E432" s="27">
        <v>543.43</v>
      </c>
      <c r="F432" s="28">
        <v>0</v>
      </c>
      <c r="G432" s="27">
        <v>1086.86</v>
      </c>
      <c r="H432" s="27">
        <v>217.37</v>
      </c>
      <c r="I432" s="27">
        <v>1304.23</v>
      </c>
      <c r="J432" s="29" cm="1">
        <f t="array" ref="J432">INDEX(Commandes!$B$2:$B$421,MATCH(B432,Commandes!$A$2:$A$421,0))</f>
        <v>45584</v>
      </c>
    </row>
    <row r="433" spans="1:10">
      <c r="A433" t="s">
        <v>1401</v>
      </c>
      <c r="B433" t="s">
        <v>719</v>
      </c>
      <c r="C433" t="s">
        <v>396</v>
      </c>
      <c r="D433">
        <v>1</v>
      </c>
      <c r="E433" s="27">
        <v>225.64</v>
      </c>
      <c r="F433" s="28">
        <v>0</v>
      </c>
      <c r="G433" s="27">
        <v>225.64</v>
      </c>
      <c r="H433" s="27">
        <v>45.13</v>
      </c>
      <c r="I433" s="27">
        <v>270.77</v>
      </c>
      <c r="J433" s="29" cm="1">
        <f t="array" ref="J433">INDEX(Commandes!$B$2:$B$421,MATCH(B433,Commandes!$A$2:$A$421,0))</f>
        <v>45584</v>
      </c>
    </row>
    <row r="434" spans="1:10">
      <c r="A434" t="s">
        <v>1402</v>
      </c>
      <c r="B434" t="s">
        <v>719</v>
      </c>
      <c r="C434" t="s">
        <v>454</v>
      </c>
      <c r="D434">
        <v>2</v>
      </c>
      <c r="E434" s="27">
        <v>375.86</v>
      </c>
      <c r="F434" s="28">
        <v>0.15</v>
      </c>
      <c r="G434" s="27">
        <v>638.96</v>
      </c>
      <c r="H434" s="27">
        <v>127.79</v>
      </c>
      <c r="I434" s="27">
        <v>766.75</v>
      </c>
      <c r="J434" s="29" cm="1">
        <f t="array" ref="J434">INDEX(Commandes!$B$2:$B$421,MATCH(B434,Commandes!$A$2:$A$421,0))</f>
        <v>45584</v>
      </c>
    </row>
    <row r="435" spans="1:10">
      <c r="A435" t="s">
        <v>1403</v>
      </c>
      <c r="B435" t="s">
        <v>720</v>
      </c>
      <c r="C435" t="s">
        <v>421</v>
      </c>
      <c r="D435">
        <v>1</v>
      </c>
      <c r="E435" s="27">
        <v>78.78</v>
      </c>
      <c r="F435" s="28">
        <v>0</v>
      </c>
      <c r="G435" s="27">
        <v>78.78</v>
      </c>
      <c r="H435" s="27">
        <v>15.76</v>
      </c>
      <c r="I435" s="27">
        <v>94.54</v>
      </c>
      <c r="J435" s="29" cm="1">
        <f t="array" ref="J435">INDEX(Commandes!$B$2:$B$421,MATCH(B435,Commandes!$A$2:$A$421,0))</f>
        <v>45703</v>
      </c>
    </row>
    <row r="436" spans="1:10">
      <c r="A436" t="s">
        <v>1404</v>
      </c>
      <c r="B436" t="s">
        <v>720</v>
      </c>
      <c r="C436" t="s">
        <v>412</v>
      </c>
      <c r="D436">
        <v>1</v>
      </c>
      <c r="E436" s="27">
        <v>114.1</v>
      </c>
      <c r="F436" s="28">
        <v>0.05</v>
      </c>
      <c r="G436" s="27">
        <v>108.39</v>
      </c>
      <c r="H436" s="27">
        <v>21.68</v>
      </c>
      <c r="I436" s="27">
        <v>130.07</v>
      </c>
      <c r="J436" s="29" cm="1">
        <f t="array" ref="J436">INDEX(Commandes!$B$2:$B$421,MATCH(B436,Commandes!$A$2:$A$421,0))</f>
        <v>45703</v>
      </c>
    </row>
    <row r="437" spans="1:10">
      <c r="A437" t="s">
        <v>1405</v>
      </c>
      <c r="B437" t="s">
        <v>720</v>
      </c>
      <c r="C437" t="s">
        <v>465</v>
      </c>
      <c r="D437">
        <v>2</v>
      </c>
      <c r="E437" s="27">
        <v>44.16</v>
      </c>
      <c r="F437" s="28">
        <v>0</v>
      </c>
      <c r="G437" s="27">
        <v>88.32</v>
      </c>
      <c r="H437" s="27">
        <v>17.66</v>
      </c>
      <c r="I437" s="27">
        <v>105.98</v>
      </c>
      <c r="J437" s="29" cm="1">
        <f t="array" ref="J437">INDEX(Commandes!$B$2:$B$421,MATCH(B437,Commandes!$A$2:$A$421,0))</f>
        <v>45703</v>
      </c>
    </row>
    <row r="438" spans="1:10">
      <c r="A438" t="s">
        <v>1406</v>
      </c>
      <c r="B438" t="s">
        <v>720</v>
      </c>
      <c r="C438" t="s">
        <v>389</v>
      </c>
      <c r="D438">
        <v>1</v>
      </c>
      <c r="E438" s="27">
        <v>120.37</v>
      </c>
      <c r="F438" s="28">
        <v>0.15</v>
      </c>
      <c r="G438" s="27">
        <v>102.31</v>
      </c>
      <c r="H438" s="27">
        <v>20.46</v>
      </c>
      <c r="I438" s="27">
        <v>122.77</v>
      </c>
      <c r="J438" s="29" cm="1">
        <f t="array" ref="J438">INDEX(Commandes!$B$2:$B$421,MATCH(B438,Commandes!$A$2:$A$421,0))</f>
        <v>45703</v>
      </c>
    </row>
    <row r="439" spans="1:10">
      <c r="A439" t="s">
        <v>1407</v>
      </c>
      <c r="B439" t="s">
        <v>721</v>
      </c>
      <c r="C439" t="s">
        <v>427</v>
      </c>
      <c r="D439">
        <v>3</v>
      </c>
      <c r="E439" s="27">
        <v>25.25</v>
      </c>
      <c r="F439" s="28">
        <v>0.1</v>
      </c>
      <c r="G439" s="27">
        <v>68.17</v>
      </c>
      <c r="H439" s="27">
        <v>13.63</v>
      </c>
      <c r="I439" s="27">
        <v>81.8</v>
      </c>
      <c r="J439" s="29" cm="1">
        <f t="array" ref="J439">INDEX(Commandes!$B$2:$B$421,MATCH(B439,Commandes!$A$2:$A$421,0))</f>
        <v>45745</v>
      </c>
    </row>
    <row r="440" spans="1:10">
      <c r="A440" t="s">
        <v>1408</v>
      </c>
      <c r="B440" t="s">
        <v>721</v>
      </c>
      <c r="C440" t="s">
        <v>421</v>
      </c>
      <c r="D440">
        <v>3</v>
      </c>
      <c r="E440" s="27">
        <v>78.78</v>
      </c>
      <c r="F440" s="28">
        <v>0.1</v>
      </c>
      <c r="G440" s="27">
        <v>212.71</v>
      </c>
      <c r="H440" s="27">
        <v>42.54</v>
      </c>
      <c r="I440" s="27">
        <v>255.25</v>
      </c>
      <c r="J440" s="29" cm="1">
        <f t="array" ref="J440">INDEX(Commandes!$B$2:$B$421,MATCH(B440,Commandes!$A$2:$A$421,0))</f>
        <v>45745</v>
      </c>
    </row>
    <row r="441" spans="1:10">
      <c r="A441" t="s">
        <v>1409</v>
      </c>
      <c r="B441" t="s">
        <v>722</v>
      </c>
      <c r="C441" t="s">
        <v>398</v>
      </c>
      <c r="D441">
        <v>3</v>
      </c>
      <c r="E441" s="27">
        <v>383.91</v>
      </c>
      <c r="F441" s="28">
        <v>0</v>
      </c>
      <c r="G441" s="27">
        <v>1151.73</v>
      </c>
      <c r="H441" s="27">
        <v>230.35</v>
      </c>
      <c r="I441" s="27">
        <v>1382.08</v>
      </c>
      <c r="J441" s="29" cm="1">
        <f t="array" ref="J441">INDEX(Commandes!$B$2:$B$421,MATCH(B441,Commandes!$A$2:$A$421,0))</f>
        <v>45454</v>
      </c>
    </row>
    <row r="442" spans="1:10">
      <c r="A442" t="s">
        <v>1410</v>
      </c>
      <c r="B442" t="s">
        <v>723</v>
      </c>
      <c r="C442" t="s">
        <v>440</v>
      </c>
      <c r="D442">
        <v>1</v>
      </c>
      <c r="E442" s="27">
        <v>391.34</v>
      </c>
      <c r="F442" s="28">
        <v>0</v>
      </c>
      <c r="G442" s="27">
        <v>391.34</v>
      </c>
      <c r="H442" s="27">
        <v>78.27</v>
      </c>
      <c r="I442" s="27">
        <v>469.61</v>
      </c>
      <c r="J442" s="29" cm="1">
        <f t="array" ref="J442">INDEX(Commandes!$B$2:$B$421,MATCH(B442,Commandes!$A$2:$A$421,0))</f>
        <v>45325</v>
      </c>
    </row>
    <row r="443" spans="1:10">
      <c r="A443" t="s">
        <v>1411</v>
      </c>
      <c r="B443" t="s">
        <v>723</v>
      </c>
      <c r="C443" t="s">
        <v>463</v>
      </c>
      <c r="D443">
        <v>1</v>
      </c>
      <c r="E443" s="27">
        <v>73.02</v>
      </c>
      <c r="F443" s="28">
        <v>0</v>
      </c>
      <c r="G443" s="27">
        <v>73.02</v>
      </c>
      <c r="H443" s="27">
        <v>14.6</v>
      </c>
      <c r="I443" s="27">
        <v>87.62</v>
      </c>
      <c r="J443" s="29" cm="1">
        <f t="array" ref="J443">INDEX(Commandes!$B$2:$B$421,MATCH(B443,Commandes!$A$2:$A$421,0))</f>
        <v>45325</v>
      </c>
    </row>
    <row r="444" spans="1:10">
      <c r="A444" t="s">
        <v>1412</v>
      </c>
      <c r="B444" t="s">
        <v>723</v>
      </c>
      <c r="C444" t="s">
        <v>438</v>
      </c>
      <c r="D444">
        <v>2</v>
      </c>
      <c r="E444" s="27">
        <v>295.97</v>
      </c>
      <c r="F444" s="28">
        <v>0</v>
      </c>
      <c r="G444" s="27">
        <v>591.94</v>
      </c>
      <c r="H444" s="27">
        <v>118.39</v>
      </c>
      <c r="I444" s="27">
        <v>710.33</v>
      </c>
      <c r="J444" s="29" cm="1">
        <f t="array" ref="J444">INDEX(Commandes!$B$2:$B$421,MATCH(B444,Commandes!$A$2:$A$421,0))</f>
        <v>45325</v>
      </c>
    </row>
    <row r="445" spans="1:10">
      <c r="A445" t="s">
        <v>1413</v>
      </c>
      <c r="B445" t="s">
        <v>724</v>
      </c>
      <c r="C445" t="s">
        <v>423</v>
      </c>
      <c r="D445">
        <v>1</v>
      </c>
      <c r="E445" s="27">
        <v>46.02</v>
      </c>
      <c r="F445" s="28">
        <v>0.1</v>
      </c>
      <c r="G445" s="27">
        <v>41.42</v>
      </c>
      <c r="H445" s="27">
        <v>8.28</v>
      </c>
      <c r="I445" s="27">
        <v>49.7</v>
      </c>
      <c r="J445" s="29" cm="1">
        <f t="array" ref="J445">INDEX(Commandes!$B$2:$B$421,MATCH(B445,Commandes!$A$2:$A$421,0))</f>
        <v>45777</v>
      </c>
    </row>
    <row r="446" spans="1:10">
      <c r="A446" t="s">
        <v>1414</v>
      </c>
      <c r="B446" t="s">
        <v>725</v>
      </c>
      <c r="C446" t="s">
        <v>475</v>
      </c>
      <c r="D446">
        <v>8</v>
      </c>
      <c r="E446" s="27">
        <v>42</v>
      </c>
      <c r="F446" s="28">
        <v>0.15</v>
      </c>
      <c r="G446" s="27">
        <v>285.6</v>
      </c>
      <c r="H446" s="27">
        <v>57.12</v>
      </c>
      <c r="I446" s="27">
        <v>342.72</v>
      </c>
      <c r="J446" s="29" cm="1">
        <f t="array" ref="J446">INDEX(Commandes!$B$2:$B$421,MATCH(B446,Commandes!$A$2:$A$421,0))</f>
        <v>45511</v>
      </c>
    </row>
    <row r="447" spans="1:10">
      <c r="A447" t="s">
        <v>1415</v>
      </c>
      <c r="B447" t="s">
        <v>725</v>
      </c>
      <c r="C447" t="s">
        <v>366</v>
      </c>
      <c r="D447">
        <v>2</v>
      </c>
      <c r="E447" s="27">
        <v>1103.64</v>
      </c>
      <c r="F447" s="28">
        <v>0</v>
      </c>
      <c r="G447" s="27">
        <v>2207.28</v>
      </c>
      <c r="H447" s="27">
        <v>441.46</v>
      </c>
      <c r="I447" s="27">
        <v>2648.74</v>
      </c>
      <c r="J447" s="29" cm="1">
        <f t="array" ref="J447">INDEX(Commandes!$B$2:$B$421,MATCH(B447,Commandes!$A$2:$A$421,0))</f>
        <v>45511</v>
      </c>
    </row>
    <row r="448" spans="1:10">
      <c r="A448" t="s">
        <v>1416</v>
      </c>
      <c r="B448" t="s">
        <v>726</v>
      </c>
      <c r="C448" t="s">
        <v>423</v>
      </c>
      <c r="D448">
        <v>4</v>
      </c>
      <c r="E448" s="27">
        <v>46.02</v>
      </c>
      <c r="F448" s="28">
        <v>0.05</v>
      </c>
      <c r="G448" s="27">
        <v>174.88</v>
      </c>
      <c r="H448" s="27">
        <v>34.98</v>
      </c>
      <c r="I448" s="27">
        <v>209.86</v>
      </c>
      <c r="J448" s="29" cm="1">
        <f t="array" ref="J448">INDEX(Commandes!$B$2:$B$421,MATCH(B448,Commandes!$A$2:$A$421,0))</f>
        <v>45954</v>
      </c>
    </row>
    <row r="449" spans="1:10">
      <c r="A449" t="s">
        <v>1417</v>
      </c>
      <c r="B449" t="s">
        <v>726</v>
      </c>
      <c r="C449" t="s">
        <v>406</v>
      </c>
      <c r="D449">
        <v>1</v>
      </c>
      <c r="E449" s="27">
        <v>18.86</v>
      </c>
      <c r="F449" s="28">
        <v>0</v>
      </c>
      <c r="G449" s="27">
        <v>18.86</v>
      </c>
      <c r="H449" s="27">
        <v>3.77</v>
      </c>
      <c r="I449" s="27">
        <v>22.63</v>
      </c>
      <c r="J449" s="29" cm="1">
        <f t="array" ref="J449">INDEX(Commandes!$B$2:$B$421,MATCH(B449,Commandes!$A$2:$A$421,0))</f>
        <v>45954</v>
      </c>
    </row>
    <row r="450" spans="1:10">
      <c r="A450" t="s">
        <v>1418</v>
      </c>
      <c r="B450" t="s">
        <v>727</v>
      </c>
      <c r="C450" t="s">
        <v>452</v>
      </c>
      <c r="D450">
        <v>2</v>
      </c>
      <c r="E450" s="27">
        <v>381.57</v>
      </c>
      <c r="F450" s="28">
        <v>0</v>
      </c>
      <c r="G450" s="27">
        <v>763.14</v>
      </c>
      <c r="H450" s="27">
        <v>152.63</v>
      </c>
      <c r="I450" s="27">
        <v>915.77</v>
      </c>
      <c r="J450" s="29" cm="1">
        <f t="array" ref="J450">INDEX(Commandes!$B$2:$B$421,MATCH(B450,Commandes!$A$2:$A$421,0))</f>
        <v>45985</v>
      </c>
    </row>
    <row r="451" spans="1:10">
      <c r="A451" t="s">
        <v>1419</v>
      </c>
      <c r="B451" t="s">
        <v>727</v>
      </c>
      <c r="C451" t="s">
        <v>463</v>
      </c>
      <c r="D451">
        <v>1</v>
      </c>
      <c r="E451" s="27">
        <v>73.02</v>
      </c>
      <c r="F451" s="28">
        <v>0</v>
      </c>
      <c r="G451" s="27">
        <v>73.02</v>
      </c>
      <c r="H451" s="27">
        <v>14.6</v>
      </c>
      <c r="I451" s="27">
        <v>87.62</v>
      </c>
      <c r="J451" s="29" cm="1">
        <f t="array" ref="J451">INDEX(Commandes!$B$2:$B$421,MATCH(B451,Commandes!$A$2:$A$421,0))</f>
        <v>45985</v>
      </c>
    </row>
    <row r="452" spans="1:10">
      <c r="A452" t="s">
        <v>1420</v>
      </c>
      <c r="B452" t="s">
        <v>728</v>
      </c>
      <c r="C452" t="s">
        <v>473</v>
      </c>
      <c r="D452">
        <v>1</v>
      </c>
      <c r="E452" s="27">
        <v>40.73</v>
      </c>
      <c r="F452" s="28">
        <v>0</v>
      </c>
      <c r="G452" s="27">
        <v>40.73</v>
      </c>
      <c r="H452" s="27">
        <v>8.15</v>
      </c>
      <c r="I452" s="27">
        <v>48.88</v>
      </c>
      <c r="J452" s="29" cm="1">
        <f t="array" ref="J452">INDEX(Commandes!$B$2:$B$421,MATCH(B452,Commandes!$A$2:$A$421,0))</f>
        <v>45636</v>
      </c>
    </row>
    <row r="453" spans="1:10">
      <c r="A453" t="s">
        <v>1421</v>
      </c>
      <c r="B453" t="s">
        <v>729</v>
      </c>
      <c r="C453" t="s">
        <v>427</v>
      </c>
      <c r="D453">
        <v>1</v>
      </c>
      <c r="E453" s="27">
        <v>25.25</v>
      </c>
      <c r="F453" s="28">
        <v>0.15</v>
      </c>
      <c r="G453" s="27">
        <v>21.46</v>
      </c>
      <c r="H453" s="27">
        <v>4.29</v>
      </c>
      <c r="I453" s="27">
        <v>25.75</v>
      </c>
      <c r="J453" s="29" cm="1">
        <f t="array" ref="J453">INDEX(Commandes!$B$2:$B$421,MATCH(B453,Commandes!$A$2:$A$421,0))</f>
        <v>45906</v>
      </c>
    </row>
    <row r="454" spans="1:10">
      <c r="A454" t="s">
        <v>1422</v>
      </c>
      <c r="B454" t="s">
        <v>730</v>
      </c>
      <c r="C454" t="s">
        <v>461</v>
      </c>
      <c r="D454">
        <v>1</v>
      </c>
      <c r="E454" s="27">
        <v>59.83</v>
      </c>
      <c r="F454" s="28">
        <v>0</v>
      </c>
      <c r="G454" s="27">
        <v>59.83</v>
      </c>
      <c r="H454" s="27">
        <v>11.97</v>
      </c>
      <c r="I454" s="27">
        <v>71.8</v>
      </c>
      <c r="J454" s="29" cm="1">
        <f t="array" ref="J454">INDEX(Commandes!$B$2:$B$421,MATCH(B454,Commandes!$A$2:$A$421,0))</f>
        <v>45328</v>
      </c>
    </row>
    <row r="455" spans="1:10">
      <c r="A455" t="s">
        <v>1423</v>
      </c>
      <c r="B455" t="s">
        <v>730</v>
      </c>
      <c r="C455" t="s">
        <v>393</v>
      </c>
      <c r="D455">
        <v>3</v>
      </c>
      <c r="E455" s="27">
        <v>196.18</v>
      </c>
      <c r="F455" s="28">
        <v>0.1</v>
      </c>
      <c r="G455" s="27">
        <v>529.69</v>
      </c>
      <c r="H455" s="27">
        <v>105.94</v>
      </c>
      <c r="I455" s="27">
        <v>635.63</v>
      </c>
      <c r="J455" s="29" cm="1">
        <f t="array" ref="J455">INDEX(Commandes!$B$2:$B$421,MATCH(B455,Commandes!$A$2:$A$421,0))</f>
        <v>45328</v>
      </c>
    </row>
    <row r="456" spans="1:10">
      <c r="A456" t="s">
        <v>1424</v>
      </c>
      <c r="B456" t="s">
        <v>730</v>
      </c>
      <c r="C456" t="s">
        <v>396</v>
      </c>
      <c r="D456">
        <v>1</v>
      </c>
      <c r="E456" s="27">
        <v>225.64</v>
      </c>
      <c r="F456" s="28">
        <v>0.05</v>
      </c>
      <c r="G456" s="27">
        <v>214.36</v>
      </c>
      <c r="H456" s="27">
        <v>42.87</v>
      </c>
      <c r="I456" s="27">
        <v>257.23</v>
      </c>
      <c r="J456" s="29" cm="1">
        <f t="array" ref="J456">INDEX(Commandes!$B$2:$B$421,MATCH(B456,Commandes!$A$2:$A$421,0))</f>
        <v>45328</v>
      </c>
    </row>
    <row r="457" spans="1:10">
      <c r="A457" t="s">
        <v>1425</v>
      </c>
      <c r="B457" t="s">
        <v>730</v>
      </c>
      <c r="C457" t="s">
        <v>389</v>
      </c>
      <c r="D457">
        <v>3</v>
      </c>
      <c r="E457" s="27">
        <v>120.37</v>
      </c>
      <c r="F457" s="28">
        <v>0.15</v>
      </c>
      <c r="G457" s="27">
        <v>306.94</v>
      </c>
      <c r="H457" s="27">
        <v>61.39</v>
      </c>
      <c r="I457" s="27">
        <v>368.33</v>
      </c>
      <c r="J457" s="29" cm="1">
        <f t="array" ref="J457">INDEX(Commandes!$B$2:$B$421,MATCH(B457,Commandes!$A$2:$A$421,0))</f>
        <v>45328</v>
      </c>
    </row>
    <row r="458" spans="1:10">
      <c r="A458" t="s">
        <v>1426</v>
      </c>
      <c r="B458" t="s">
        <v>731</v>
      </c>
      <c r="C458" t="s">
        <v>412</v>
      </c>
      <c r="D458">
        <v>1</v>
      </c>
      <c r="E458" s="27">
        <v>114.1</v>
      </c>
      <c r="F458" s="28">
        <v>0</v>
      </c>
      <c r="G458" s="27">
        <v>114.1</v>
      </c>
      <c r="H458" s="27">
        <v>22.82</v>
      </c>
      <c r="I458" s="27">
        <v>136.92</v>
      </c>
      <c r="J458" s="29" cm="1">
        <f t="array" ref="J458">INDEX(Commandes!$B$2:$B$421,MATCH(B458,Commandes!$A$2:$A$421,0))</f>
        <v>45864</v>
      </c>
    </row>
    <row r="459" spans="1:10">
      <c r="A459" t="s">
        <v>1427</v>
      </c>
      <c r="B459" t="s">
        <v>732</v>
      </c>
      <c r="C459" t="s">
        <v>456</v>
      </c>
      <c r="D459">
        <v>2</v>
      </c>
      <c r="E459" s="27">
        <v>62.13</v>
      </c>
      <c r="F459" s="28">
        <v>0.1</v>
      </c>
      <c r="G459" s="27">
        <v>111.83</v>
      </c>
      <c r="H459" s="27">
        <v>22.37</v>
      </c>
      <c r="I459" s="27">
        <v>134.2</v>
      </c>
      <c r="J459" s="29" cm="1">
        <f t="array" ref="J459">INDEX(Commandes!$B$2:$B$421,MATCH(B459,Commandes!$A$2:$A$421,0))</f>
        <v>45672</v>
      </c>
    </row>
    <row r="460" spans="1:10">
      <c r="A460" t="s">
        <v>1428</v>
      </c>
      <c r="B460" t="s">
        <v>733</v>
      </c>
      <c r="C460" t="s">
        <v>391</v>
      </c>
      <c r="D460">
        <v>1</v>
      </c>
      <c r="E460" s="27">
        <v>138.13</v>
      </c>
      <c r="F460" s="28">
        <v>0</v>
      </c>
      <c r="G460" s="27">
        <v>138.13</v>
      </c>
      <c r="H460" s="27">
        <v>27.63</v>
      </c>
      <c r="I460" s="27">
        <v>165.76</v>
      </c>
      <c r="J460" s="29" cm="1">
        <f t="array" ref="J460">INDEX(Commandes!$B$2:$B$421,MATCH(B460,Commandes!$A$2:$A$421,0))</f>
        <v>45364</v>
      </c>
    </row>
    <row r="461" spans="1:10">
      <c r="A461" t="s">
        <v>1429</v>
      </c>
      <c r="B461" t="s">
        <v>733</v>
      </c>
      <c r="C461" t="s">
        <v>417</v>
      </c>
      <c r="D461">
        <v>1</v>
      </c>
      <c r="E461" s="27">
        <v>59.79</v>
      </c>
      <c r="F461" s="28">
        <v>0.1</v>
      </c>
      <c r="G461" s="27">
        <v>53.81</v>
      </c>
      <c r="H461" s="27">
        <v>10.76</v>
      </c>
      <c r="I461" s="27">
        <v>64.57</v>
      </c>
      <c r="J461" s="29" cm="1">
        <f t="array" ref="J461">INDEX(Commandes!$B$2:$B$421,MATCH(B461,Commandes!$A$2:$A$421,0))</f>
        <v>45364</v>
      </c>
    </row>
    <row r="462" spans="1:10">
      <c r="A462" t="s">
        <v>1430</v>
      </c>
      <c r="B462" t="s">
        <v>734</v>
      </c>
      <c r="C462" t="s">
        <v>396</v>
      </c>
      <c r="D462">
        <v>1</v>
      </c>
      <c r="E462" s="27">
        <v>225.64</v>
      </c>
      <c r="F462" s="28">
        <v>0</v>
      </c>
      <c r="G462" s="27">
        <v>225.64</v>
      </c>
      <c r="H462" s="27">
        <v>45.13</v>
      </c>
      <c r="I462" s="27">
        <v>270.77</v>
      </c>
      <c r="J462" s="29" cm="1">
        <f t="array" ref="J462">INDEX(Commandes!$B$2:$B$421,MATCH(B462,Commandes!$A$2:$A$421,0))</f>
        <v>45760</v>
      </c>
    </row>
    <row r="463" spans="1:10">
      <c r="A463" t="s">
        <v>1431</v>
      </c>
      <c r="B463" t="s">
        <v>734</v>
      </c>
      <c r="C463" t="s">
        <v>366</v>
      </c>
      <c r="D463">
        <v>2</v>
      </c>
      <c r="E463" s="27">
        <v>1103.64</v>
      </c>
      <c r="F463" s="28">
        <v>0</v>
      </c>
      <c r="G463" s="27">
        <v>2207.28</v>
      </c>
      <c r="H463" s="27">
        <v>441.46</v>
      </c>
      <c r="I463" s="27">
        <v>2648.74</v>
      </c>
      <c r="J463" s="29" cm="1">
        <f t="array" ref="J463">INDEX(Commandes!$B$2:$B$421,MATCH(B463,Commandes!$A$2:$A$421,0))</f>
        <v>45760</v>
      </c>
    </row>
    <row r="464" spans="1:10">
      <c r="A464" t="s">
        <v>1432</v>
      </c>
      <c r="B464" t="s">
        <v>735</v>
      </c>
      <c r="C464" t="s">
        <v>456</v>
      </c>
      <c r="D464">
        <v>1</v>
      </c>
      <c r="E464" s="27">
        <v>62.13</v>
      </c>
      <c r="F464" s="28">
        <v>0.05</v>
      </c>
      <c r="G464" s="27">
        <v>59.02</v>
      </c>
      <c r="H464" s="27">
        <v>11.8</v>
      </c>
      <c r="I464" s="27">
        <v>70.82</v>
      </c>
      <c r="J464" s="29" cm="1">
        <f t="array" ref="J464">INDEX(Commandes!$B$2:$B$421,MATCH(B464,Commandes!$A$2:$A$421,0))</f>
        <v>45464</v>
      </c>
    </row>
    <row r="465" spans="1:10">
      <c r="A465" t="s">
        <v>1433</v>
      </c>
      <c r="B465" t="s">
        <v>735</v>
      </c>
      <c r="C465" t="s">
        <v>435</v>
      </c>
      <c r="D465">
        <v>1</v>
      </c>
      <c r="E465" s="27">
        <v>262.34</v>
      </c>
      <c r="F465" s="28">
        <v>0</v>
      </c>
      <c r="G465" s="27">
        <v>262.34</v>
      </c>
      <c r="H465" s="27">
        <v>52.47</v>
      </c>
      <c r="I465" s="27">
        <v>314.81</v>
      </c>
      <c r="J465" s="29" cm="1">
        <f t="array" ref="J465">INDEX(Commandes!$B$2:$B$421,MATCH(B465,Commandes!$A$2:$A$421,0))</f>
        <v>45464</v>
      </c>
    </row>
    <row r="466" spans="1:10">
      <c r="A466" t="s">
        <v>1434</v>
      </c>
      <c r="B466" t="s">
        <v>736</v>
      </c>
      <c r="C466" t="s">
        <v>456</v>
      </c>
      <c r="D466">
        <v>3</v>
      </c>
      <c r="E466" s="27">
        <v>62.13</v>
      </c>
      <c r="F466" s="28">
        <v>0</v>
      </c>
      <c r="G466" s="27">
        <v>186.39</v>
      </c>
      <c r="H466" s="27">
        <v>37.28</v>
      </c>
      <c r="I466" s="27">
        <v>223.67</v>
      </c>
      <c r="J466" s="29" cm="1">
        <f t="array" ref="J466">INDEX(Commandes!$B$2:$B$421,MATCH(B466,Commandes!$A$2:$A$421,0))</f>
        <v>45838</v>
      </c>
    </row>
    <row r="467" spans="1:10">
      <c r="A467" t="s">
        <v>1435</v>
      </c>
      <c r="B467" t="s">
        <v>736</v>
      </c>
      <c r="C467" t="s">
        <v>465</v>
      </c>
      <c r="D467">
        <v>4</v>
      </c>
      <c r="E467" s="27">
        <v>44.16</v>
      </c>
      <c r="F467" s="28">
        <v>0</v>
      </c>
      <c r="G467" s="27">
        <v>176.64</v>
      </c>
      <c r="H467" s="27">
        <v>35.33</v>
      </c>
      <c r="I467" s="27">
        <v>211.97</v>
      </c>
      <c r="J467" s="29" cm="1">
        <f t="array" ref="J467">INDEX(Commandes!$B$2:$B$421,MATCH(B467,Commandes!$A$2:$A$421,0))</f>
        <v>45838</v>
      </c>
    </row>
    <row r="468" spans="1:10">
      <c r="A468" t="s">
        <v>1436</v>
      </c>
      <c r="B468" t="s">
        <v>736</v>
      </c>
      <c r="C468" t="s">
        <v>389</v>
      </c>
      <c r="D468">
        <v>1</v>
      </c>
      <c r="E468" s="27">
        <v>120.37</v>
      </c>
      <c r="F468" s="28">
        <v>0.1</v>
      </c>
      <c r="G468" s="27">
        <v>108.33</v>
      </c>
      <c r="H468" s="27">
        <v>21.67</v>
      </c>
      <c r="I468" s="27">
        <v>130</v>
      </c>
      <c r="J468" s="29" cm="1">
        <f t="array" ref="J468">INDEX(Commandes!$B$2:$B$421,MATCH(B468,Commandes!$A$2:$A$421,0))</f>
        <v>45838</v>
      </c>
    </row>
    <row r="469" spans="1:10">
      <c r="A469" t="s">
        <v>1437</v>
      </c>
      <c r="B469" t="s">
        <v>737</v>
      </c>
      <c r="C469" t="s">
        <v>442</v>
      </c>
      <c r="D469">
        <v>2</v>
      </c>
      <c r="E469" s="27">
        <v>374.59</v>
      </c>
      <c r="F469" s="28">
        <v>0</v>
      </c>
      <c r="G469" s="27">
        <v>749.18</v>
      </c>
      <c r="H469" s="27">
        <v>149.84</v>
      </c>
      <c r="I469" s="27">
        <v>899.02</v>
      </c>
      <c r="J469" s="29" cm="1">
        <f t="array" ref="J469">INDEX(Commandes!$B$2:$B$421,MATCH(B469,Commandes!$A$2:$A$421,0))</f>
        <v>45894</v>
      </c>
    </row>
    <row r="470" spans="1:10">
      <c r="A470" t="s">
        <v>1438</v>
      </c>
      <c r="B470" t="s">
        <v>737</v>
      </c>
      <c r="C470" t="s">
        <v>429</v>
      </c>
      <c r="D470">
        <v>4</v>
      </c>
      <c r="E470" s="27">
        <v>32.75</v>
      </c>
      <c r="F470" s="28">
        <v>0</v>
      </c>
      <c r="G470" s="27">
        <v>131</v>
      </c>
      <c r="H470" s="27">
        <v>26.2</v>
      </c>
      <c r="I470" s="27">
        <v>157.2</v>
      </c>
      <c r="J470" s="29" cm="1">
        <f t="array" ref="J470">INDEX(Commandes!$B$2:$B$421,MATCH(B470,Commandes!$A$2:$A$421,0))</f>
        <v>45894</v>
      </c>
    </row>
    <row r="471" spans="1:10">
      <c r="A471" t="s">
        <v>1439</v>
      </c>
      <c r="B471" t="s">
        <v>738</v>
      </c>
      <c r="C471" t="s">
        <v>402</v>
      </c>
      <c r="D471">
        <v>3</v>
      </c>
      <c r="E471" s="27">
        <v>26.57</v>
      </c>
      <c r="F471" s="28">
        <v>0</v>
      </c>
      <c r="G471" s="27">
        <v>79.71</v>
      </c>
      <c r="H471" s="27">
        <v>15.94</v>
      </c>
      <c r="I471" s="27">
        <v>95.65</v>
      </c>
      <c r="J471" s="29" cm="1">
        <f t="array" ref="J471">INDEX(Commandes!$B$2:$B$421,MATCH(B471,Commandes!$A$2:$A$421,0))</f>
        <v>45642</v>
      </c>
    </row>
    <row r="472" spans="1:10">
      <c r="A472" t="s">
        <v>1440</v>
      </c>
      <c r="B472" t="s">
        <v>739</v>
      </c>
      <c r="C472" t="s">
        <v>406</v>
      </c>
      <c r="D472">
        <v>3</v>
      </c>
      <c r="E472" s="27">
        <v>18.86</v>
      </c>
      <c r="F472" s="28">
        <v>0.1</v>
      </c>
      <c r="G472" s="27">
        <v>50.92</v>
      </c>
      <c r="H472" s="27">
        <v>10.18</v>
      </c>
      <c r="I472" s="27">
        <v>61.1</v>
      </c>
      <c r="J472" s="29" cm="1">
        <f t="array" ref="J472">INDEX(Commandes!$B$2:$B$421,MATCH(B472,Commandes!$A$2:$A$421,0))</f>
        <v>45508</v>
      </c>
    </row>
    <row r="473" spans="1:10">
      <c r="A473" t="s">
        <v>1441</v>
      </c>
      <c r="B473" t="s">
        <v>739</v>
      </c>
      <c r="C473" t="s">
        <v>374</v>
      </c>
      <c r="D473">
        <v>2</v>
      </c>
      <c r="E473" s="27">
        <v>251.56</v>
      </c>
      <c r="F473" s="28">
        <v>0</v>
      </c>
      <c r="G473" s="27">
        <v>503.12</v>
      </c>
      <c r="H473" s="27">
        <v>100.62</v>
      </c>
      <c r="I473" s="27">
        <v>603.74</v>
      </c>
      <c r="J473" s="29" cm="1">
        <f t="array" ref="J473">INDEX(Commandes!$B$2:$B$421,MATCH(B473,Commandes!$A$2:$A$421,0))</f>
        <v>45508</v>
      </c>
    </row>
    <row r="474" spans="1:10">
      <c r="A474" t="s">
        <v>1442</v>
      </c>
      <c r="B474" t="s">
        <v>739</v>
      </c>
      <c r="C474" t="s">
        <v>461</v>
      </c>
      <c r="D474">
        <v>1</v>
      </c>
      <c r="E474" s="27">
        <v>59.83</v>
      </c>
      <c r="F474" s="28">
        <v>0</v>
      </c>
      <c r="G474" s="27">
        <v>59.83</v>
      </c>
      <c r="H474" s="27">
        <v>11.97</v>
      </c>
      <c r="I474" s="27">
        <v>71.8</v>
      </c>
      <c r="J474" s="29" cm="1">
        <f t="array" ref="J474">INDEX(Commandes!$B$2:$B$421,MATCH(B474,Commandes!$A$2:$A$421,0))</f>
        <v>45508</v>
      </c>
    </row>
    <row r="475" spans="1:10">
      <c r="A475" t="s">
        <v>1443</v>
      </c>
      <c r="B475" t="s">
        <v>739</v>
      </c>
      <c r="C475" t="s">
        <v>374</v>
      </c>
      <c r="D475">
        <v>2</v>
      </c>
      <c r="E475" s="27">
        <v>251.56</v>
      </c>
      <c r="F475" s="28">
        <v>0.05</v>
      </c>
      <c r="G475" s="27">
        <v>477.96</v>
      </c>
      <c r="H475" s="27">
        <v>95.59</v>
      </c>
      <c r="I475" s="27">
        <v>573.55</v>
      </c>
      <c r="J475" s="29" cm="1">
        <f t="array" ref="J475">INDEX(Commandes!$B$2:$B$421,MATCH(B475,Commandes!$A$2:$A$421,0))</f>
        <v>45508</v>
      </c>
    </row>
    <row r="476" spans="1:10">
      <c r="A476" t="s">
        <v>1444</v>
      </c>
      <c r="B476" t="s">
        <v>740</v>
      </c>
      <c r="C476" t="s">
        <v>456</v>
      </c>
      <c r="D476">
        <v>1</v>
      </c>
      <c r="E476" s="27">
        <v>62.13</v>
      </c>
      <c r="F476" s="28">
        <v>0.05</v>
      </c>
      <c r="G476" s="27">
        <v>59.02</v>
      </c>
      <c r="H476" s="27">
        <v>11.8</v>
      </c>
      <c r="I476" s="27">
        <v>70.82</v>
      </c>
      <c r="J476" s="29" cm="1">
        <f t="array" ref="J476">INDEX(Commandes!$B$2:$B$421,MATCH(B476,Commandes!$A$2:$A$421,0))</f>
        <v>45746</v>
      </c>
    </row>
    <row r="477" spans="1:10">
      <c r="A477" t="s">
        <v>1445</v>
      </c>
      <c r="B477" t="s">
        <v>740</v>
      </c>
      <c r="C477" t="s">
        <v>461</v>
      </c>
      <c r="D477">
        <v>1</v>
      </c>
      <c r="E477" s="27">
        <v>59.83</v>
      </c>
      <c r="F477" s="28">
        <v>0.1</v>
      </c>
      <c r="G477" s="27">
        <v>53.85</v>
      </c>
      <c r="H477" s="27">
        <v>10.77</v>
      </c>
      <c r="I477" s="27">
        <v>64.62</v>
      </c>
      <c r="J477" s="29" cm="1">
        <f t="array" ref="J477">INDEX(Commandes!$B$2:$B$421,MATCH(B477,Commandes!$A$2:$A$421,0))</f>
        <v>45746</v>
      </c>
    </row>
    <row r="478" spans="1:10">
      <c r="A478" t="s">
        <v>1446</v>
      </c>
      <c r="B478" t="s">
        <v>740</v>
      </c>
      <c r="C478" t="s">
        <v>408</v>
      </c>
      <c r="D478">
        <v>2</v>
      </c>
      <c r="E478" s="27">
        <v>19.65</v>
      </c>
      <c r="F478" s="28">
        <v>0.15</v>
      </c>
      <c r="G478" s="27">
        <v>33.4</v>
      </c>
      <c r="H478" s="27">
        <v>6.68</v>
      </c>
      <c r="I478" s="27">
        <v>40.08</v>
      </c>
      <c r="J478" s="29" cm="1">
        <f t="array" ref="J478">INDEX(Commandes!$B$2:$B$421,MATCH(B478,Commandes!$A$2:$A$421,0))</f>
        <v>45746</v>
      </c>
    </row>
    <row r="479" spans="1:10">
      <c r="A479" t="s">
        <v>1447</v>
      </c>
      <c r="B479" t="s">
        <v>741</v>
      </c>
      <c r="C479" t="s">
        <v>398</v>
      </c>
      <c r="D479">
        <v>3</v>
      </c>
      <c r="E479" s="27">
        <v>383.91</v>
      </c>
      <c r="F479" s="28">
        <v>0.1</v>
      </c>
      <c r="G479" s="27">
        <v>1036.56</v>
      </c>
      <c r="H479" s="27">
        <v>207.31</v>
      </c>
      <c r="I479" s="27">
        <v>1243.87</v>
      </c>
      <c r="J479" s="29" cm="1">
        <f t="array" ref="J479">INDEX(Commandes!$B$2:$B$421,MATCH(B479,Commandes!$A$2:$A$421,0))</f>
        <v>45432</v>
      </c>
    </row>
    <row r="480" spans="1:10">
      <c r="A480" t="s">
        <v>1448</v>
      </c>
      <c r="B480" t="s">
        <v>742</v>
      </c>
      <c r="C480" t="s">
        <v>435</v>
      </c>
      <c r="D480">
        <v>1</v>
      </c>
      <c r="E480" s="27">
        <v>262.34</v>
      </c>
      <c r="F480" s="28">
        <v>0</v>
      </c>
      <c r="G480" s="27">
        <v>262.34</v>
      </c>
      <c r="H480" s="27">
        <v>52.47</v>
      </c>
      <c r="I480" s="27">
        <v>314.81</v>
      </c>
      <c r="J480" s="29" cm="1">
        <f t="array" ref="J480">INDEX(Commandes!$B$2:$B$421,MATCH(B480,Commandes!$A$2:$A$421,0))</f>
        <v>45498</v>
      </c>
    </row>
    <row r="481" spans="1:10">
      <c r="A481" t="s">
        <v>1449</v>
      </c>
      <c r="B481" t="s">
        <v>742</v>
      </c>
      <c r="C481" t="s">
        <v>366</v>
      </c>
      <c r="D481">
        <v>2</v>
      </c>
      <c r="E481" s="27">
        <v>1103.64</v>
      </c>
      <c r="F481" s="28">
        <v>0</v>
      </c>
      <c r="G481" s="27">
        <v>2207.28</v>
      </c>
      <c r="H481" s="27">
        <v>441.46</v>
      </c>
      <c r="I481" s="27">
        <v>2648.74</v>
      </c>
      <c r="J481" s="29" cm="1">
        <f t="array" ref="J481">INDEX(Commandes!$B$2:$B$421,MATCH(B481,Commandes!$A$2:$A$421,0))</f>
        <v>45498</v>
      </c>
    </row>
    <row r="482" spans="1:10">
      <c r="A482" t="s">
        <v>1450</v>
      </c>
      <c r="B482" t="s">
        <v>742</v>
      </c>
      <c r="C482" t="s">
        <v>448</v>
      </c>
      <c r="D482">
        <v>2</v>
      </c>
      <c r="E482" s="27">
        <v>543.43</v>
      </c>
      <c r="F482" s="28">
        <v>0</v>
      </c>
      <c r="G482" s="27">
        <v>1086.86</v>
      </c>
      <c r="H482" s="27">
        <v>217.37</v>
      </c>
      <c r="I482" s="27">
        <v>1304.23</v>
      </c>
      <c r="J482" s="29" cm="1">
        <f t="array" ref="J482">INDEX(Commandes!$B$2:$B$421,MATCH(B482,Commandes!$A$2:$A$421,0))</f>
        <v>45498</v>
      </c>
    </row>
    <row r="483" spans="1:10">
      <c r="A483" t="s">
        <v>1451</v>
      </c>
      <c r="B483" t="s">
        <v>743</v>
      </c>
      <c r="C483" t="s">
        <v>433</v>
      </c>
      <c r="D483">
        <v>10</v>
      </c>
      <c r="E483" s="27">
        <v>58.14</v>
      </c>
      <c r="F483" s="28">
        <v>0</v>
      </c>
      <c r="G483" s="27">
        <v>581.4</v>
      </c>
      <c r="H483" s="27">
        <v>116.28</v>
      </c>
      <c r="I483" s="27">
        <v>697.68</v>
      </c>
      <c r="J483" s="29" cm="1">
        <f t="array" ref="J483">INDEX(Commandes!$B$2:$B$421,MATCH(B483,Commandes!$A$2:$A$421,0))</f>
        <v>45384</v>
      </c>
    </row>
    <row r="484" spans="1:10">
      <c r="A484" t="s">
        <v>1452</v>
      </c>
      <c r="B484" t="s">
        <v>743</v>
      </c>
      <c r="C484" t="s">
        <v>406</v>
      </c>
      <c r="D484">
        <v>2</v>
      </c>
      <c r="E484" s="27">
        <v>18.86</v>
      </c>
      <c r="F484" s="28">
        <v>0</v>
      </c>
      <c r="G484" s="27">
        <v>37.72</v>
      </c>
      <c r="H484" s="27">
        <v>7.54</v>
      </c>
      <c r="I484" s="27">
        <v>45.26</v>
      </c>
      <c r="J484" s="29" cm="1">
        <f t="array" ref="J484">INDEX(Commandes!$B$2:$B$421,MATCH(B484,Commandes!$A$2:$A$421,0))</f>
        <v>45384</v>
      </c>
    </row>
    <row r="485" spans="1:10">
      <c r="A485" t="s">
        <v>1453</v>
      </c>
      <c r="B485" t="s">
        <v>744</v>
      </c>
      <c r="C485" t="s">
        <v>383</v>
      </c>
      <c r="D485">
        <v>4</v>
      </c>
      <c r="E485" s="27">
        <v>39.08</v>
      </c>
      <c r="F485" s="28">
        <v>0</v>
      </c>
      <c r="G485" s="27">
        <v>156.32</v>
      </c>
      <c r="H485" s="27">
        <v>31.26</v>
      </c>
      <c r="I485" s="27">
        <v>187.58</v>
      </c>
      <c r="J485" s="29" cm="1">
        <f t="array" ref="J485">INDEX(Commandes!$B$2:$B$421,MATCH(B485,Commandes!$A$2:$A$421,0))</f>
        <v>45470</v>
      </c>
    </row>
    <row r="486" spans="1:10">
      <c r="A486" t="s">
        <v>1454</v>
      </c>
      <c r="B486" t="s">
        <v>744</v>
      </c>
      <c r="C486" t="s">
        <v>366</v>
      </c>
      <c r="D486">
        <v>4</v>
      </c>
      <c r="E486" s="27">
        <v>1103.64</v>
      </c>
      <c r="F486" s="28">
        <v>0.15</v>
      </c>
      <c r="G486" s="27">
        <v>3752.38</v>
      </c>
      <c r="H486" s="27">
        <v>750.48</v>
      </c>
      <c r="I486" s="27">
        <v>4502.86</v>
      </c>
      <c r="J486" s="29" cm="1">
        <f t="array" ref="J486">INDEX(Commandes!$B$2:$B$421,MATCH(B486,Commandes!$A$2:$A$421,0))</f>
        <v>45470</v>
      </c>
    </row>
    <row r="487" spans="1:10">
      <c r="A487" t="s">
        <v>1455</v>
      </c>
      <c r="B487" t="s">
        <v>744</v>
      </c>
      <c r="C487" t="s">
        <v>459</v>
      </c>
      <c r="D487">
        <v>1</v>
      </c>
      <c r="E487" s="27">
        <v>70.8</v>
      </c>
      <c r="F487" s="28">
        <v>0</v>
      </c>
      <c r="G487" s="27">
        <v>70.8</v>
      </c>
      <c r="H487" s="27">
        <v>14.16</v>
      </c>
      <c r="I487" s="27">
        <v>84.96</v>
      </c>
      <c r="J487" s="29" cm="1">
        <f t="array" ref="J487">INDEX(Commandes!$B$2:$B$421,MATCH(B487,Commandes!$A$2:$A$421,0))</f>
        <v>45470</v>
      </c>
    </row>
    <row r="488" spans="1:10">
      <c r="A488" t="s">
        <v>1456</v>
      </c>
      <c r="B488" t="s">
        <v>745</v>
      </c>
      <c r="C488" t="s">
        <v>425</v>
      </c>
      <c r="D488">
        <v>8</v>
      </c>
      <c r="E488" s="27">
        <v>36.08</v>
      </c>
      <c r="F488" s="28">
        <v>0</v>
      </c>
      <c r="G488" s="27">
        <v>288.64</v>
      </c>
      <c r="H488" s="27">
        <v>57.73</v>
      </c>
      <c r="I488" s="27">
        <v>346.37</v>
      </c>
      <c r="J488" s="29" cm="1">
        <f t="array" ref="J488">INDEX(Commandes!$B$2:$B$421,MATCH(B488,Commandes!$A$2:$A$421,0))</f>
        <v>45740</v>
      </c>
    </row>
    <row r="489" spans="1:10">
      <c r="A489" t="s">
        <v>1457</v>
      </c>
      <c r="B489" t="s">
        <v>746</v>
      </c>
      <c r="C489" t="s">
        <v>469</v>
      </c>
      <c r="D489">
        <v>1</v>
      </c>
      <c r="E489" s="27">
        <v>30.71</v>
      </c>
      <c r="F489" s="28">
        <v>0</v>
      </c>
      <c r="G489" s="27">
        <v>30.71</v>
      </c>
      <c r="H489" s="27">
        <v>6.14</v>
      </c>
      <c r="I489" s="27">
        <v>36.85</v>
      </c>
      <c r="J489" s="29" cm="1">
        <f t="array" ref="J489">INDEX(Commandes!$B$2:$B$421,MATCH(B489,Commandes!$A$2:$A$421,0))</f>
        <v>45686</v>
      </c>
    </row>
    <row r="490" spans="1:10">
      <c r="A490" t="s">
        <v>1458</v>
      </c>
      <c r="B490" t="s">
        <v>747</v>
      </c>
      <c r="C490" t="s">
        <v>475</v>
      </c>
      <c r="D490">
        <v>1</v>
      </c>
      <c r="E490" s="27">
        <v>42</v>
      </c>
      <c r="F490" s="28">
        <v>0</v>
      </c>
      <c r="G490" s="27">
        <v>42</v>
      </c>
      <c r="H490" s="27">
        <v>8.4</v>
      </c>
      <c r="I490" s="27">
        <v>50.4</v>
      </c>
      <c r="J490" s="29" cm="1">
        <f t="array" ref="J490">INDEX(Commandes!$B$2:$B$421,MATCH(B490,Commandes!$A$2:$A$421,0))</f>
        <v>45398</v>
      </c>
    </row>
    <row r="491" spans="1:10">
      <c r="A491" t="s">
        <v>1459</v>
      </c>
      <c r="B491" t="s">
        <v>747</v>
      </c>
      <c r="C491" t="s">
        <v>463</v>
      </c>
      <c r="D491">
        <v>4</v>
      </c>
      <c r="E491" s="27">
        <v>73.02</v>
      </c>
      <c r="F491" s="28">
        <v>0.15</v>
      </c>
      <c r="G491" s="27">
        <v>248.27</v>
      </c>
      <c r="H491" s="27">
        <v>49.65</v>
      </c>
      <c r="I491" s="27">
        <v>297.92</v>
      </c>
      <c r="J491" s="29" cm="1">
        <f t="array" ref="J491">INDEX(Commandes!$B$2:$B$421,MATCH(B491,Commandes!$A$2:$A$421,0))</f>
        <v>45398</v>
      </c>
    </row>
    <row r="492" spans="1:10">
      <c r="A492" t="s">
        <v>1460</v>
      </c>
      <c r="B492" t="s">
        <v>748</v>
      </c>
      <c r="C492" t="s">
        <v>459</v>
      </c>
      <c r="D492">
        <v>1</v>
      </c>
      <c r="E492" s="27">
        <v>70.8</v>
      </c>
      <c r="F492" s="28">
        <v>0.15</v>
      </c>
      <c r="G492" s="27">
        <v>60.18</v>
      </c>
      <c r="H492" s="27">
        <v>12.04</v>
      </c>
      <c r="I492" s="27">
        <v>72.22</v>
      </c>
      <c r="J492" s="29" cm="1">
        <f t="array" ref="J492">INDEX(Commandes!$B$2:$B$421,MATCH(B492,Commandes!$A$2:$A$421,0))</f>
        <v>45425</v>
      </c>
    </row>
    <row r="493" spans="1:10">
      <c r="A493" t="s">
        <v>1461</v>
      </c>
      <c r="B493" t="s">
        <v>749</v>
      </c>
      <c r="C493" t="s">
        <v>469</v>
      </c>
      <c r="D493">
        <v>1</v>
      </c>
      <c r="E493" s="27">
        <v>30.71</v>
      </c>
      <c r="F493" s="28">
        <v>0</v>
      </c>
      <c r="G493" s="27">
        <v>30.71</v>
      </c>
      <c r="H493" s="27">
        <v>6.14</v>
      </c>
      <c r="I493" s="27">
        <v>36.85</v>
      </c>
      <c r="J493" s="29" cm="1">
        <f t="array" ref="J493">INDEX(Commandes!$B$2:$B$421,MATCH(B493,Commandes!$A$2:$A$421,0))</f>
        <v>45986</v>
      </c>
    </row>
    <row r="494" spans="1:10">
      <c r="A494" t="s">
        <v>1462</v>
      </c>
      <c r="B494" t="s">
        <v>749</v>
      </c>
      <c r="C494" t="s">
        <v>461</v>
      </c>
      <c r="D494">
        <v>2</v>
      </c>
      <c r="E494" s="27">
        <v>59.83</v>
      </c>
      <c r="F494" s="28">
        <v>0.05</v>
      </c>
      <c r="G494" s="27">
        <v>113.68</v>
      </c>
      <c r="H494" s="27">
        <v>22.74</v>
      </c>
      <c r="I494" s="27">
        <v>136.42</v>
      </c>
      <c r="J494" s="29" cm="1">
        <f t="array" ref="J494">INDEX(Commandes!$B$2:$B$421,MATCH(B494,Commandes!$A$2:$A$421,0))</f>
        <v>45986</v>
      </c>
    </row>
    <row r="495" spans="1:10">
      <c r="A495" t="s">
        <v>1463</v>
      </c>
      <c r="B495" t="s">
        <v>750</v>
      </c>
      <c r="C495" t="s">
        <v>393</v>
      </c>
      <c r="D495">
        <v>1</v>
      </c>
      <c r="E495" s="27">
        <v>196.18</v>
      </c>
      <c r="F495" s="28">
        <v>0.05</v>
      </c>
      <c r="G495" s="27">
        <v>186.37</v>
      </c>
      <c r="H495" s="27">
        <v>37.27</v>
      </c>
      <c r="I495" s="27">
        <v>223.64</v>
      </c>
      <c r="J495" s="29" cm="1">
        <f t="array" ref="J495">INDEX(Commandes!$B$2:$B$421,MATCH(B495,Commandes!$A$2:$A$421,0))</f>
        <v>45444</v>
      </c>
    </row>
    <row r="496" spans="1:10">
      <c r="A496" t="s">
        <v>1464</v>
      </c>
      <c r="B496" t="s">
        <v>750</v>
      </c>
      <c r="C496" t="s">
        <v>414</v>
      </c>
      <c r="D496">
        <v>1</v>
      </c>
      <c r="E496" s="27">
        <v>63.96</v>
      </c>
      <c r="F496" s="28">
        <v>0</v>
      </c>
      <c r="G496" s="27">
        <v>63.96</v>
      </c>
      <c r="H496" s="27">
        <v>12.79</v>
      </c>
      <c r="I496" s="27">
        <v>76.75</v>
      </c>
      <c r="J496" s="29" cm="1">
        <f t="array" ref="J496">INDEX(Commandes!$B$2:$B$421,MATCH(B496,Commandes!$A$2:$A$421,0))</f>
        <v>45444</v>
      </c>
    </row>
    <row r="497" spans="1:10">
      <c r="A497" t="s">
        <v>1465</v>
      </c>
      <c r="B497" t="s">
        <v>750</v>
      </c>
      <c r="C497" t="s">
        <v>374</v>
      </c>
      <c r="D497">
        <v>2</v>
      </c>
      <c r="E497" s="27">
        <v>251.56</v>
      </c>
      <c r="F497" s="28">
        <v>0.1</v>
      </c>
      <c r="G497" s="27">
        <v>452.81</v>
      </c>
      <c r="H497" s="27">
        <v>90.56</v>
      </c>
      <c r="I497" s="27">
        <v>543.37</v>
      </c>
      <c r="J497" s="29" cm="1">
        <f t="array" ref="J497">INDEX(Commandes!$B$2:$B$421,MATCH(B497,Commandes!$A$2:$A$421,0))</f>
        <v>45444</v>
      </c>
    </row>
    <row r="498" spans="1:10">
      <c r="A498" t="s">
        <v>1466</v>
      </c>
      <c r="B498" t="s">
        <v>750</v>
      </c>
      <c r="C498" t="s">
        <v>459</v>
      </c>
      <c r="D498">
        <v>1</v>
      </c>
      <c r="E498" s="27">
        <v>70.8</v>
      </c>
      <c r="F498" s="28">
        <v>0</v>
      </c>
      <c r="G498" s="27">
        <v>70.8</v>
      </c>
      <c r="H498" s="27">
        <v>14.16</v>
      </c>
      <c r="I498" s="27">
        <v>84.96</v>
      </c>
      <c r="J498" s="29" cm="1">
        <f t="array" ref="J498">INDEX(Commandes!$B$2:$B$421,MATCH(B498,Commandes!$A$2:$A$421,0))</f>
        <v>45444</v>
      </c>
    </row>
    <row r="499" spans="1:10">
      <c r="A499" t="s">
        <v>1467</v>
      </c>
      <c r="B499" t="s">
        <v>751</v>
      </c>
      <c r="C499" t="s">
        <v>438</v>
      </c>
      <c r="D499">
        <v>3</v>
      </c>
      <c r="E499" s="27">
        <v>295.97</v>
      </c>
      <c r="F499" s="28">
        <v>0</v>
      </c>
      <c r="G499" s="27">
        <v>887.91</v>
      </c>
      <c r="H499" s="27">
        <v>177.58</v>
      </c>
      <c r="I499" s="27">
        <v>1065.49</v>
      </c>
      <c r="J499" s="29" cm="1">
        <f t="array" ref="J499">INDEX(Commandes!$B$2:$B$421,MATCH(B499,Commandes!$A$2:$A$421,0))</f>
        <v>45372</v>
      </c>
    </row>
    <row r="500" spans="1:10">
      <c r="A500" t="s">
        <v>1468</v>
      </c>
      <c r="B500" t="s">
        <v>751</v>
      </c>
      <c r="C500" t="s">
        <v>383</v>
      </c>
      <c r="D500">
        <v>1</v>
      </c>
      <c r="E500" s="27">
        <v>39.08</v>
      </c>
      <c r="F500" s="28">
        <v>0</v>
      </c>
      <c r="G500" s="27">
        <v>39.08</v>
      </c>
      <c r="H500" s="27">
        <v>7.82</v>
      </c>
      <c r="I500" s="27">
        <v>46.9</v>
      </c>
      <c r="J500" s="29" cm="1">
        <f t="array" ref="J500">INDEX(Commandes!$B$2:$B$421,MATCH(B500,Commandes!$A$2:$A$421,0))</f>
        <v>45372</v>
      </c>
    </row>
    <row r="501" spans="1:10">
      <c r="A501" t="s">
        <v>1469</v>
      </c>
      <c r="B501" t="s">
        <v>752</v>
      </c>
      <c r="C501" t="s">
        <v>433</v>
      </c>
      <c r="D501">
        <v>5</v>
      </c>
      <c r="E501" s="27">
        <v>58.14</v>
      </c>
      <c r="F501" s="28">
        <v>0</v>
      </c>
      <c r="G501" s="27">
        <v>290.7</v>
      </c>
      <c r="H501" s="27">
        <v>58.14</v>
      </c>
      <c r="I501" s="27">
        <v>348.84</v>
      </c>
      <c r="J501" s="29" cm="1">
        <f t="array" ref="J501">INDEX(Commandes!$B$2:$B$421,MATCH(B501,Commandes!$A$2:$A$421,0))</f>
        <v>45862</v>
      </c>
    </row>
    <row r="502" spans="1:10">
      <c r="A502" t="s">
        <v>1470</v>
      </c>
      <c r="B502" t="s">
        <v>752</v>
      </c>
      <c r="C502" t="s">
        <v>374</v>
      </c>
      <c r="D502">
        <v>3</v>
      </c>
      <c r="E502" s="27">
        <v>251.56</v>
      </c>
      <c r="F502" s="28">
        <v>0.05</v>
      </c>
      <c r="G502" s="27">
        <v>716.95</v>
      </c>
      <c r="H502" s="27">
        <v>143.39</v>
      </c>
      <c r="I502" s="27">
        <v>860.34</v>
      </c>
      <c r="J502" s="29" cm="1">
        <f t="array" ref="J502">INDEX(Commandes!$B$2:$B$421,MATCH(B502,Commandes!$A$2:$A$421,0))</f>
        <v>45862</v>
      </c>
    </row>
    <row r="503" spans="1:10">
      <c r="A503" t="s">
        <v>1471</v>
      </c>
      <c r="B503" t="s">
        <v>752</v>
      </c>
      <c r="C503" t="s">
        <v>417</v>
      </c>
      <c r="D503">
        <v>2</v>
      </c>
      <c r="E503" s="27">
        <v>59.79</v>
      </c>
      <c r="F503" s="28">
        <v>0.1</v>
      </c>
      <c r="G503" s="27">
        <v>107.62</v>
      </c>
      <c r="H503" s="27">
        <v>21.52</v>
      </c>
      <c r="I503" s="27">
        <v>129.14</v>
      </c>
      <c r="J503" s="29" cm="1">
        <f t="array" ref="J503">INDEX(Commandes!$B$2:$B$421,MATCH(B503,Commandes!$A$2:$A$421,0))</f>
        <v>45862</v>
      </c>
    </row>
    <row r="504" spans="1:10">
      <c r="A504" t="s">
        <v>1472</v>
      </c>
      <c r="B504" t="s">
        <v>753</v>
      </c>
      <c r="C504" t="s">
        <v>456</v>
      </c>
      <c r="D504">
        <v>8</v>
      </c>
      <c r="E504" s="27">
        <v>62.13</v>
      </c>
      <c r="F504" s="28">
        <v>0</v>
      </c>
      <c r="G504" s="27">
        <v>497.04</v>
      </c>
      <c r="H504" s="27">
        <v>99.41</v>
      </c>
      <c r="I504" s="27">
        <v>596.45</v>
      </c>
      <c r="J504" s="29" cm="1">
        <f t="array" ref="J504">INDEX(Commandes!$B$2:$B$421,MATCH(B504,Commandes!$A$2:$A$421,0))</f>
        <v>45906</v>
      </c>
    </row>
    <row r="505" spans="1:10">
      <c r="A505" t="s">
        <v>1473</v>
      </c>
      <c r="B505" t="s">
        <v>753</v>
      </c>
      <c r="C505" t="s">
        <v>446</v>
      </c>
      <c r="D505">
        <v>2</v>
      </c>
      <c r="E505" s="27">
        <v>454.43</v>
      </c>
      <c r="F505" s="28">
        <v>0.15</v>
      </c>
      <c r="G505" s="27">
        <v>772.53</v>
      </c>
      <c r="H505" s="27">
        <v>154.51</v>
      </c>
      <c r="I505" s="27">
        <v>927.04</v>
      </c>
      <c r="J505" s="29" cm="1">
        <f t="array" ref="J505">INDEX(Commandes!$B$2:$B$421,MATCH(B505,Commandes!$A$2:$A$421,0))</f>
        <v>45906</v>
      </c>
    </row>
    <row r="506" spans="1:10">
      <c r="A506" t="s">
        <v>1474</v>
      </c>
      <c r="B506" t="s">
        <v>754</v>
      </c>
      <c r="C506" t="s">
        <v>398</v>
      </c>
      <c r="D506">
        <v>1</v>
      </c>
      <c r="E506" s="27">
        <v>383.91</v>
      </c>
      <c r="F506" s="28">
        <v>0.05</v>
      </c>
      <c r="G506" s="27">
        <v>364.71</v>
      </c>
      <c r="H506" s="27">
        <v>72.94</v>
      </c>
      <c r="I506" s="27">
        <v>437.65</v>
      </c>
      <c r="J506" s="29" cm="1">
        <f t="array" ref="J506">INDEX(Commandes!$B$2:$B$421,MATCH(B506,Commandes!$A$2:$A$421,0))</f>
        <v>45400</v>
      </c>
    </row>
    <row r="507" spans="1:10">
      <c r="A507" t="s">
        <v>1475</v>
      </c>
      <c r="B507" t="s">
        <v>755</v>
      </c>
      <c r="C507" t="s">
        <v>463</v>
      </c>
      <c r="D507">
        <v>2</v>
      </c>
      <c r="E507" s="27">
        <v>73.02</v>
      </c>
      <c r="F507" s="28">
        <v>0.05</v>
      </c>
      <c r="G507" s="27">
        <v>138.74</v>
      </c>
      <c r="H507" s="27">
        <v>27.75</v>
      </c>
      <c r="I507" s="27">
        <v>166.49</v>
      </c>
      <c r="J507" s="29" cm="1">
        <f t="array" ref="J507">INDEX(Commandes!$B$2:$B$421,MATCH(B507,Commandes!$A$2:$A$421,0))</f>
        <v>45512</v>
      </c>
    </row>
    <row r="508" spans="1:10">
      <c r="A508" t="s">
        <v>1476</v>
      </c>
      <c r="B508" t="s">
        <v>755</v>
      </c>
      <c r="C508" t="s">
        <v>433</v>
      </c>
      <c r="D508">
        <v>2</v>
      </c>
      <c r="E508" s="27">
        <v>58.14</v>
      </c>
      <c r="F508" s="28">
        <v>0.1</v>
      </c>
      <c r="G508" s="27">
        <v>104.65</v>
      </c>
      <c r="H508" s="27">
        <v>20.93</v>
      </c>
      <c r="I508" s="27">
        <v>125.58</v>
      </c>
      <c r="J508" s="29" cm="1">
        <f t="array" ref="J508">INDEX(Commandes!$B$2:$B$421,MATCH(B508,Commandes!$A$2:$A$421,0))</f>
        <v>45512</v>
      </c>
    </row>
    <row r="509" spans="1:10">
      <c r="A509" t="s">
        <v>1477</v>
      </c>
      <c r="B509" t="s">
        <v>755</v>
      </c>
      <c r="C509" t="s">
        <v>389</v>
      </c>
      <c r="D509">
        <v>8</v>
      </c>
      <c r="E509" s="27">
        <v>120.37</v>
      </c>
      <c r="F509" s="28">
        <v>0</v>
      </c>
      <c r="G509" s="27">
        <v>962.96</v>
      </c>
      <c r="H509" s="27">
        <v>192.59</v>
      </c>
      <c r="I509" s="27">
        <v>1155.55</v>
      </c>
      <c r="J509" s="29" cm="1">
        <f t="array" ref="J509">INDEX(Commandes!$B$2:$B$421,MATCH(B509,Commandes!$A$2:$A$421,0))</f>
        <v>45512</v>
      </c>
    </row>
    <row r="510" spans="1:10">
      <c r="A510" t="s">
        <v>1478</v>
      </c>
      <c r="B510" t="s">
        <v>755</v>
      </c>
      <c r="C510" t="s">
        <v>442</v>
      </c>
      <c r="D510">
        <v>3</v>
      </c>
      <c r="E510" s="27">
        <v>374.59</v>
      </c>
      <c r="F510" s="28">
        <v>0.1</v>
      </c>
      <c r="G510" s="27">
        <v>1011.39</v>
      </c>
      <c r="H510" s="27">
        <v>202.28</v>
      </c>
      <c r="I510" s="27">
        <v>1213.67</v>
      </c>
      <c r="J510" s="29" cm="1">
        <f t="array" ref="J510">INDEX(Commandes!$B$2:$B$421,MATCH(B510,Commandes!$A$2:$A$421,0))</f>
        <v>45512</v>
      </c>
    </row>
    <row r="511" spans="1:10">
      <c r="A511" t="s">
        <v>1479</v>
      </c>
      <c r="B511" t="s">
        <v>756</v>
      </c>
      <c r="C511" t="s">
        <v>389</v>
      </c>
      <c r="D511">
        <v>1</v>
      </c>
      <c r="E511" s="27">
        <v>120.37</v>
      </c>
      <c r="F511" s="28">
        <v>0.15</v>
      </c>
      <c r="G511" s="27">
        <v>102.31</v>
      </c>
      <c r="H511" s="27">
        <v>20.46</v>
      </c>
      <c r="I511" s="27">
        <v>122.77</v>
      </c>
      <c r="J511" s="29" cm="1">
        <f t="array" ref="J511">INDEX(Commandes!$B$2:$B$421,MATCH(B511,Commandes!$A$2:$A$421,0))</f>
        <v>45735</v>
      </c>
    </row>
    <row r="512" spans="1:10">
      <c r="A512" t="s">
        <v>1480</v>
      </c>
      <c r="B512" t="s">
        <v>756</v>
      </c>
      <c r="C512" t="s">
        <v>452</v>
      </c>
      <c r="D512">
        <v>2</v>
      </c>
      <c r="E512" s="27">
        <v>381.57</v>
      </c>
      <c r="F512" s="28">
        <v>0</v>
      </c>
      <c r="G512" s="27">
        <v>763.14</v>
      </c>
      <c r="H512" s="27">
        <v>152.63</v>
      </c>
      <c r="I512" s="27">
        <v>915.77</v>
      </c>
      <c r="J512" s="29" cm="1">
        <f t="array" ref="J512">INDEX(Commandes!$B$2:$B$421,MATCH(B512,Commandes!$A$2:$A$421,0))</f>
        <v>45735</v>
      </c>
    </row>
    <row r="513" spans="1:10">
      <c r="A513" t="s">
        <v>1481</v>
      </c>
      <c r="B513" t="s">
        <v>756</v>
      </c>
      <c r="C513" t="s">
        <v>440</v>
      </c>
      <c r="D513">
        <v>4</v>
      </c>
      <c r="E513" s="27">
        <v>391.34</v>
      </c>
      <c r="F513" s="28">
        <v>0.05</v>
      </c>
      <c r="G513" s="27">
        <v>1487.09</v>
      </c>
      <c r="H513" s="27">
        <v>297.42</v>
      </c>
      <c r="I513" s="27">
        <v>1784.51</v>
      </c>
      <c r="J513" s="29" cm="1">
        <f t="array" ref="J513">INDEX(Commandes!$B$2:$B$421,MATCH(B513,Commandes!$A$2:$A$421,0))</f>
        <v>45735</v>
      </c>
    </row>
    <row r="514" spans="1:10">
      <c r="A514" t="s">
        <v>1482</v>
      </c>
      <c r="B514" t="s">
        <v>757</v>
      </c>
      <c r="C514" t="s">
        <v>389</v>
      </c>
      <c r="D514">
        <v>1</v>
      </c>
      <c r="E514" s="27">
        <v>120.37</v>
      </c>
      <c r="F514" s="28">
        <v>0.1</v>
      </c>
      <c r="G514" s="27">
        <v>108.33</v>
      </c>
      <c r="H514" s="27">
        <v>21.67</v>
      </c>
      <c r="I514" s="27">
        <v>130</v>
      </c>
      <c r="J514" s="29" cm="1">
        <f t="array" ref="J514">INDEX(Commandes!$B$2:$B$421,MATCH(B514,Commandes!$A$2:$A$421,0))</f>
        <v>45915</v>
      </c>
    </row>
    <row r="515" spans="1:10">
      <c r="A515" t="s">
        <v>1483</v>
      </c>
      <c r="B515" t="s">
        <v>757</v>
      </c>
      <c r="C515" t="s">
        <v>465</v>
      </c>
      <c r="D515">
        <v>4</v>
      </c>
      <c r="E515" s="27">
        <v>44.16</v>
      </c>
      <c r="F515" s="28">
        <v>0.1</v>
      </c>
      <c r="G515" s="27">
        <v>158.98</v>
      </c>
      <c r="H515" s="27">
        <v>31.8</v>
      </c>
      <c r="I515" s="27">
        <v>190.78</v>
      </c>
      <c r="J515" s="29" cm="1">
        <f t="array" ref="J515">INDEX(Commandes!$B$2:$B$421,MATCH(B515,Commandes!$A$2:$A$421,0))</f>
        <v>45915</v>
      </c>
    </row>
    <row r="516" spans="1:10">
      <c r="A516" t="s">
        <v>1484</v>
      </c>
      <c r="B516" t="s">
        <v>758</v>
      </c>
      <c r="C516" t="s">
        <v>467</v>
      </c>
      <c r="D516">
        <v>1</v>
      </c>
      <c r="E516" s="27">
        <v>49.53</v>
      </c>
      <c r="F516" s="28">
        <v>0</v>
      </c>
      <c r="G516" s="27">
        <v>49.53</v>
      </c>
      <c r="H516" s="27">
        <v>9.91</v>
      </c>
      <c r="I516" s="27">
        <v>59.44</v>
      </c>
      <c r="J516" s="29" cm="1">
        <f t="array" ref="J516">INDEX(Commandes!$B$2:$B$421,MATCH(B516,Commandes!$A$2:$A$421,0))</f>
        <v>45598</v>
      </c>
    </row>
    <row r="517" spans="1:10">
      <c r="A517" t="s">
        <v>1485</v>
      </c>
      <c r="B517" t="s">
        <v>759</v>
      </c>
      <c r="C517" t="s">
        <v>461</v>
      </c>
      <c r="D517">
        <v>3</v>
      </c>
      <c r="E517" s="27">
        <v>59.83</v>
      </c>
      <c r="F517" s="28">
        <v>0.15</v>
      </c>
      <c r="G517" s="27">
        <v>152.57</v>
      </c>
      <c r="H517" s="27">
        <v>30.51</v>
      </c>
      <c r="I517" s="27">
        <v>183.08</v>
      </c>
      <c r="J517" s="29" cm="1">
        <f t="array" ref="J517">INDEX(Commandes!$B$2:$B$421,MATCH(B517,Commandes!$A$2:$A$421,0))</f>
        <v>45980</v>
      </c>
    </row>
    <row r="518" spans="1:10">
      <c r="A518" t="s">
        <v>1486</v>
      </c>
      <c r="B518" t="s">
        <v>759</v>
      </c>
      <c r="C518" t="s">
        <v>471</v>
      </c>
      <c r="D518">
        <v>4</v>
      </c>
      <c r="E518" s="27">
        <v>35.83</v>
      </c>
      <c r="F518" s="28">
        <v>0.1</v>
      </c>
      <c r="G518" s="27">
        <v>128.99</v>
      </c>
      <c r="H518" s="27">
        <v>25.8</v>
      </c>
      <c r="I518" s="27">
        <v>154.79</v>
      </c>
      <c r="J518" s="29" cm="1">
        <f t="array" ref="J518">INDEX(Commandes!$B$2:$B$421,MATCH(B518,Commandes!$A$2:$A$421,0))</f>
        <v>45980</v>
      </c>
    </row>
    <row r="519" spans="1:10">
      <c r="A519" t="s">
        <v>1487</v>
      </c>
      <c r="B519" t="s">
        <v>760</v>
      </c>
      <c r="C519" t="s">
        <v>461</v>
      </c>
      <c r="D519">
        <v>1</v>
      </c>
      <c r="E519" s="27">
        <v>59.83</v>
      </c>
      <c r="F519" s="28">
        <v>0</v>
      </c>
      <c r="G519" s="27">
        <v>59.83</v>
      </c>
      <c r="H519" s="27">
        <v>11.97</v>
      </c>
      <c r="I519" s="27">
        <v>71.8</v>
      </c>
      <c r="J519" s="29" cm="1">
        <f t="array" ref="J519">INDEX(Commandes!$B$2:$B$421,MATCH(B519,Commandes!$A$2:$A$421,0))</f>
        <v>45584</v>
      </c>
    </row>
    <row r="520" spans="1:10">
      <c r="A520" t="s">
        <v>1488</v>
      </c>
      <c r="B520" t="s">
        <v>761</v>
      </c>
      <c r="C520" t="s">
        <v>372</v>
      </c>
      <c r="D520">
        <v>1</v>
      </c>
      <c r="E520" s="27">
        <v>216.77</v>
      </c>
      <c r="F520" s="28">
        <v>0.05</v>
      </c>
      <c r="G520" s="27">
        <v>205.93</v>
      </c>
      <c r="H520" s="27">
        <v>41.19</v>
      </c>
      <c r="I520" s="27">
        <v>247.12</v>
      </c>
      <c r="J520" s="29" cm="1">
        <f t="array" ref="J520">INDEX(Commandes!$B$2:$B$421,MATCH(B520,Commandes!$A$2:$A$421,0))</f>
        <v>45456</v>
      </c>
    </row>
    <row r="521" spans="1:10">
      <c r="A521" t="s">
        <v>1489</v>
      </c>
      <c r="B521" t="s">
        <v>761</v>
      </c>
      <c r="C521" t="s">
        <v>383</v>
      </c>
      <c r="D521">
        <v>2</v>
      </c>
      <c r="E521" s="27">
        <v>39.08</v>
      </c>
      <c r="F521" s="28">
        <v>0.15</v>
      </c>
      <c r="G521" s="27">
        <v>66.44</v>
      </c>
      <c r="H521" s="27">
        <v>13.29</v>
      </c>
      <c r="I521" s="27">
        <v>79.73</v>
      </c>
      <c r="J521" s="29" cm="1">
        <f t="array" ref="J521">INDEX(Commandes!$B$2:$B$421,MATCH(B521,Commandes!$A$2:$A$421,0))</f>
        <v>45456</v>
      </c>
    </row>
    <row r="522" spans="1:10">
      <c r="A522" t="s">
        <v>1490</v>
      </c>
      <c r="B522" t="s">
        <v>761</v>
      </c>
      <c r="C522" t="s">
        <v>471</v>
      </c>
      <c r="D522">
        <v>2</v>
      </c>
      <c r="E522" s="27">
        <v>35.83</v>
      </c>
      <c r="F522" s="28">
        <v>0</v>
      </c>
      <c r="G522" s="27">
        <v>71.66</v>
      </c>
      <c r="H522" s="27">
        <v>14.33</v>
      </c>
      <c r="I522" s="27">
        <v>85.99</v>
      </c>
      <c r="J522" s="29" cm="1">
        <f t="array" ref="J522">INDEX(Commandes!$B$2:$B$421,MATCH(B522,Commandes!$A$2:$A$421,0))</f>
        <v>45456</v>
      </c>
    </row>
    <row r="523" spans="1:10">
      <c r="A523" t="s">
        <v>1491</v>
      </c>
      <c r="B523" t="s">
        <v>762</v>
      </c>
      <c r="C523" t="s">
        <v>423</v>
      </c>
      <c r="D523">
        <v>1</v>
      </c>
      <c r="E523" s="27">
        <v>46.02</v>
      </c>
      <c r="F523" s="28">
        <v>0.15</v>
      </c>
      <c r="G523" s="27">
        <v>39.12</v>
      </c>
      <c r="H523" s="27">
        <v>7.82</v>
      </c>
      <c r="I523" s="27">
        <v>46.94</v>
      </c>
      <c r="J523" s="29" cm="1">
        <f t="array" ref="J523">INDEX(Commandes!$B$2:$B$421,MATCH(B523,Commandes!$A$2:$A$421,0))</f>
        <v>45954</v>
      </c>
    </row>
    <row r="524" spans="1:10">
      <c r="A524" t="s">
        <v>1492</v>
      </c>
      <c r="B524" t="s">
        <v>762</v>
      </c>
      <c r="C524" t="s">
        <v>414</v>
      </c>
      <c r="D524">
        <v>8</v>
      </c>
      <c r="E524" s="27">
        <v>63.96</v>
      </c>
      <c r="F524" s="28">
        <v>0</v>
      </c>
      <c r="G524" s="27">
        <v>511.68</v>
      </c>
      <c r="H524" s="27">
        <v>102.34</v>
      </c>
      <c r="I524" s="27">
        <v>614.02</v>
      </c>
      <c r="J524" s="29" cm="1">
        <f t="array" ref="J524">INDEX(Commandes!$B$2:$B$421,MATCH(B524,Commandes!$A$2:$A$421,0))</f>
        <v>45954</v>
      </c>
    </row>
    <row r="525" spans="1:10">
      <c r="A525" t="s">
        <v>1493</v>
      </c>
      <c r="B525" t="s">
        <v>762</v>
      </c>
      <c r="C525" t="s">
        <v>366</v>
      </c>
      <c r="D525">
        <v>3</v>
      </c>
      <c r="E525" s="27">
        <v>1103.64</v>
      </c>
      <c r="F525" s="28">
        <v>0</v>
      </c>
      <c r="G525" s="27">
        <v>3310.92</v>
      </c>
      <c r="H525" s="27">
        <v>662.18</v>
      </c>
      <c r="I525" s="27">
        <v>3973.1</v>
      </c>
      <c r="J525" s="29" cm="1">
        <f t="array" ref="J525">INDEX(Commandes!$B$2:$B$421,MATCH(B525,Commandes!$A$2:$A$421,0))</f>
        <v>45954</v>
      </c>
    </row>
    <row r="526" spans="1:10">
      <c r="A526" t="s">
        <v>1494</v>
      </c>
      <c r="B526" t="s">
        <v>762</v>
      </c>
      <c r="C526" t="s">
        <v>454</v>
      </c>
      <c r="D526">
        <v>4</v>
      </c>
      <c r="E526" s="27">
        <v>375.86</v>
      </c>
      <c r="F526" s="28">
        <v>0.05</v>
      </c>
      <c r="G526" s="27">
        <v>1428.27</v>
      </c>
      <c r="H526" s="27">
        <v>285.65</v>
      </c>
      <c r="I526" s="27">
        <v>1713.92</v>
      </c>
      <c r="J526" s="29" cm="1">
        <f t="array" ref="J526">INDEX(Commandes!$B$2:$B$421,MATCH(B526,Commandes!$A$2:$A$421,0))</f>
        <v>45954</v>
      </c>
    </row>
    <row r="527" spans="1:10">
      <c r="A527" t="s">
        <v>1495</v>
      </c>
      <c r="B527" t="s">
        <v>763</v>
      </c>
      <c r="C527" t="s">
        <v>463</v>
      </c>
      <c r="D527">
        <v>1</v>
      </c>
      <c r="E527" s="27">
        <v>73.02</v>
      </c>
      <c r="F527" s="28">
        <v>0</v>
      </c>
      <c r="G527" s="27">
        <v>73.02</v>
      </c>
      <c r="H527" s="27">
        <v>14.6</v>
      </c>
      <c r="I527" s="27">
        <v>87.62</v>
      </c>
      <c r="J527" s="29" cm="1">
        <f t="array" ref="J527">INDEX(Commandes!$B$2:$B$421,MATCH(B527,Commandes!$A$2:$A$421,0))</f>
        <v>45522</v>
      </c>
    </row>
    <row r="528" spans="1:10">
      <c r="A528" t="s">
        <v>1496</v>
      </c>
      <c r="B528" t="s">
        <v>763</v>
      </c>
      <c r="C528" t="s">
        <v>471</v>
      </c>
      <c r="D528">
        <v>2</v>
      </c>
      <c r="E528" s="27">
        <v>35.83</v>
      </c>
      <c r="F528" s="28">
        <v>0.05</v>
      </c>
      <c r="G528" s="27">
        <v>68.08</v>
      </c>
      <c r="H528" s="27">
        <v>13.62</v>
      </c>
      <c r="I528" s="27">
        <v>81.7</v>
      </c>
      <c r="J528" s="29" cm="1">
        <f t="array" ref="J528">INDEX(Commandes!$B$2:$B$421,MATCH(B528,Commandes!$A$2:$A$421,0))</f>
        <v>45522</v>
      </c>
    </row>
    <row r="529" spans="1:10">
      <c r="A529" t="s">
        <v>1497</v>
      </c>
      <c r="B529" t="s">
        <v>764</v>
      </c>
      <c r="C529" t="s">
        <v>467</v>
      </c>
      <c r="D529">
        <v>5</v>
      </c>
      <c r="E529" s="27">
        <v>49.53</v>
      </c>
      <c r="F529" s="28">
        <v>0</v>
      </c>
      <c r="G529" s="27">
        <v>247.65</v>
      </c>
      <c r="H529" s="27">
        <v>49.53</v>
      </c>
      <c r="I529" s="27">
        <v>297.18</v>
      </c>
      <c r="J529" s="29" cm="1">
        <f t="array" ref="J529">INDEX(Commandes!$B$2:$B$421,MATCH(B529,Commandes!$A$2:$A$421,0))</f>
        <v>45333</v>
      </c>
    </row>
    <row r="530" spans="1:10">
      <c r="A530" t="s">
        <v>1498</v>
      </c>
      <c r="B530" t="s">
        <v>764</v>
      </c>
      <c r="C530" t="s">
        <v>391</v>
      </c>
      <c r="D530">
        <v>5</v>
      </c>
      <c r="E530" s="27">
        <v>138.13</v>
      </c>
      <c r="F530" s="28">
        <v>0.1</v>
      </c>
      <c r="G530" s="27">
        <v>621.59</v>
      </c>
      <c r="H530" s="27">
        <v>124.32</v>
      </c>
      <c r="I530" s="27">
        <v>745.91</v>
      </c>
      <c r="J530" s="29" cm="1">
        <f t="array" ref="J530">INDEX(Commandes!$B$2:$B$421,MATCH(B530,Commandes!$A$2:$A$421,0))</f>
        <v>45333</v>
      </c>
    </row>
    <row r="531" spans="1:10">
      <c r="A531" t="s">
        <v>1499</v>
      </c>
      <c r="B531" t="s">
        <v>765</v>
      </c>
      <c r="C531" t="s">
        <v>414</v>
      </c>
      <c r="D531">
        <v>2</v>
      </c>
      <c r="E531" s="27">
        <v>63.96</v>
      </c>
      <c r="F531" s="28">
        <v>0</v>
      </c>
      <c r="G531" s="27">
        <v>127.92</v>
      </c>
      <c r="H531" s="27">
        <v>25.58</v>
      </c>
      <c r="I531" s="27">
        <v>153.5</v>
      </c>
      <c r="J531" s="29" cm="1">
        <f t="array" ref="J531">INDEX(Commandes!$B$2:$B$421,MATCH(B531,Commandes!$A$2:$A$421,0))</f>
        <v>45344</v>
      </c>
    </row>
    <row r="532" spans="1:10">
      <c r="A532" t="s">
        <v>1500</v>
      </c>
      <c r="B532" t="s">
        <v>765</v>
      </c>
      <c r="C532" t="s">
        <v>442</v>
      </c>
      <c r="D532">
        <v>1</v>
      </c>
      <c r="E532" s="27">
        <v>374.59</v>
      </c>
      <c r="F532" s="28">
        <v>0.1</v>
      </c>
      <c r="G532" s="27">
        <v>337.13</v>
      </c>
      <c r="H532" s="27">
        <v>67.43</v>
      </c>
      <c r="I532" s="27">
        <v>404.56</v>
      </c>
      <c r="J532" s="29" cm="1">
        <f t="array" ref="J532">INDEX(Commandes!$B$2:$B$421,MATCH(B532,Commandes!$A$2:$A$421,0))</f>
        <v>45344</v>
      </c>
    </row>
    <row r="533" spans="1:10">
      <c r="A533" t="s">
        <v>1501</v>
      </c>
      <c r="B533" t="s">
        <v>765</v>
      </c>
      <c r="C533" t="s">
        <v>393</v>
      </c>
      <c r="D533">
        <v>1</v>
      </c>
      <c r="E533" s="27">
        <v>196.18</v>
      </c>
      <c r="F533" s="28">
        <v>0.1</v>
      </c>
      <c r="G533" s="27">
        <v>176.56</v>
      </c>
      <c r="H533" s="27">
        <v>35.31</v>
      </c>
      <c r="I533" s="27">
        <v>211.87</v>
      </c>
      <c r="J533" s="29" cm="1">
        <f t="array" ref="J533">INDEX(Commandes!$B$2:$B$421,MATCH(B533,Commandes!$A$2:$A$421,0))</f>
        <v>45344</v>
      </c>
    </row>
    <row r="534" spans="1:10">
      <c r="A534" t="s">
        <v>1502</v>
      </c>
      <c r="B534" t="s">
        <v>766</v>
      </c>
      <c r="C534" t="s">
        <v>400</v>
      </c>
      <c r="D534">
        <v>5</v>
      </c>
      <c r="E534" s="27">
        <v>328.03</v>
      </c>
      <c r="F534" s="28">
        <v>0.1</v>
      </c>
      <c r="G534" s="27">
        <v>1476.13</v>
      </c>
      <c r="H534" s="27">
        <v>295.23</v>
      </c>
      <c r="I534" s="27">
        <v>1771.36</v>
      </c>
      <c r="J534" s="29" cm="1">
        <f t="array" ref="J534">INDEX(Commandes!$B$2:$B$421,MATCH(B534,Commandes!$A$2:$A$421,0))</f>
        <v>45705</v>
      </c>
    </row>
    <row r="535" spans="1:10">
      <c r="A535" t="s">
        <v>1503</v>
      </c>
      <c r="B535" t="s">
        <v>766</v>
      </c>
      <c r="C535" t="s">
        <v>442</v>
      </c>
      <c r="D535">
        <v>2</v>
      </c>
      <c r="E535" s="27">
        <v>374.59</v>
      </c>
      <c r="F535" s="28">
        <v>0.1</v>
      </c>
      <c r="G535" s="27">
        <v>674.26</v>
      </c>
      <c r="H535" s="27">
        <v>134.85</v>
      </c>
      <c r="I535" s="27">
        <v>809.11</v>
      </c>
      <c r="J535" s="29" cm="1">
        <f t="array" ref="J535">INDEX(Commandes!$B$2:$B$421,MATCH(B535,Commandes!$A$2:$A$421,0))</f>
        <v>45705</v>
      </c>
    </row>
    <row r="536" spans="1:10">
      <c r="A536" t="s">
        <v>1504</v>
      </c>
      <c r="B536" t="s">
        <v>767</v>
      </c>
      <c r="C536" t="s">
        <v>414</v>
      </c>
      <c r="D536">
        <v>1</v>
      </c>
      <c r="E536" s="27">
        <v>63.96</v>
      </c>
      <c r="F536" s="28">
        <v>0</v>
      </c>
      <c r="G536" s="27">
        <v>63.96</v>
      </c>
      <c r="H536" s="27">
        <v>12.79</v>
      </c>
      <c r="I536" s="27">
        <v>76.75</v>
      </c>
      <c r="J536" s="29" cm="1">
        <f t="array" ref="J536">INDEX(Commandes!$B$2:$B$421,MATCH(B536,Commandes!$A$2:$A$421,0))</f>
        <v>45956</v>
      </c>
    </row>
    <row r="537" spans="1:10">
      <c r="A537" t="s">
        <v>1505</v>
      </c>
      <c r="B537" t="s">
        <v>767</v>
      </c>
      <c r="C537" t="s">
        <v>423</v>
      </c>
      <c r="D537">
        <v>1</v>
      </c>
      <c r="E537" s="27">
        <v>46.02</v>
      </c>
      <c r="F537" s="28">
        <v>0.15</v>
      </c>
      <c r="G537" s="27">
        <v>39.12</v>
      </c>
      <c r="H537" s="27">
        <v>7.82</v>
      </c>
      <c r="I537" s="27">
        <v>46.94</v>
      </c>
      <c r="J537" s="29" cm="1">
        <f t="array" ref="J537">INDEX(Commandes!$B$2:$B$421,MATCH(B537,Commandes!$A$2:$A$421,0))</f>
        <v>45956</v>
      </c>
    </row>
    <row r="538" spans="1:10">
      <c r="A538" t="s">
        <v>1506</v>
      </c>
      <c r="B538" t="s">
        <v>767</v>
      </c>
      <c r="C538" t="s">
        <v>410</v>
      </c>
      <c r="D538">
        <v>1</v>
      </c>
      <c r="E538" s="27">
        <v>106.93</v>
      </c>
      <c r="F538" s="28">
        <v>0.1</v>
      </c>
      <c r="G538" s="27">
        <v>96.24</v>
      </c>
      <c r="H538" s="27">
        <v>19.25</v>
      </c>
      <c r="I538" s="27">
        <v>115.49</v>
      </c>
      <c r="J538" s="29" cm="1">
        <f t="array" ref="J538">INDEX(Commandes!$B$2:$B$421,MATCH(B538,Commandes!$A$2:$A$421,0))</f>
        <v>45956</v>
      </c>
    </row>
    <row r="539" spans="1:10">
      <c r="A539" t="s">
        <v>1507</v>
      </c>
      <c r="B539" t="s">
        <v>768</v>
      </c>
      <c r="C539" t="s">
        <v>380</v>
      </c>
      <c r="D539">
        <v>5</v>
      </c>
      <c r="E539" s="27">
        <v>80.3</v>
      </c>
      <c r="F539" s="28">
        <v>0</v>
      </c>
      <c r="G539" s="27">
        <v>401.5</v>
      </c>
      <c r="H539" s="27">
        <v>80.3</v>
      </c>
      <c r="I539" s="27">
        <v>481.8</v>
      </c>
      <c r="J539" s="29" cm="1">
        <f t="array" ref="J539">INDEX(Commandes!$B$2:$B$421,MATCH(B539,Commandes!$A$2:$A$421,0))</f>
        <v>45675</v>
      </c>
    </row>
    <row r="540" spans="1:10">
      <c r="A540" t="s">
        <v>1508</v>
      </c>
      <c r="B540" t="s">
        <v>768</v>
      </c>
      <c r="C540" t="s">
        <v>475</v>
      </c>
      <c r="D540">
        <v>2</v>
      </c>
      <c r="E540" s="27">
        <v>42</v>
      </c>
      <c r="F540" s="28">
        <v>0</v>
      </c>
      <c r="G540" s="27">
        <v>84</v>
      </c>
      <c r="H540" s="27">
        <v>16.8</v>
      </c>
      <c r="I540" s="27">
        <v>100.8</v>
      </c>
      <c r="J540" s="29" cm="1">
        <f t="array" ref="J540">INDEX(Commandes!$B$2:$B$421,MATCH(B540,Commandes!$A$2:$A$421,0))</f>
        <v>45675</v>
      </c>
    </row>
    <row r="541" spans="1:10">
      <c r="A541" t="s">
        <v>1509</v>
      </c>
      <c r="B541" t="s">
        <v>769</v>
      </c>
      <c r="C541" t="s">
        <v>465</v>
      </c>
      <c r="D541">
        <v>4</v>
      </c>
      <c r="E541" s="27">
        <v>44.16</v>
      </c>
      <c r="F541" s="28">
        <v>0.15</v>
      </c>
      <c r="G541" s="27">
        <v>150.14</v>
      </c>
      <c r="H541" s="27">
        <v>30.03</v>
      </c>
      <c r="I541" s="27">
        <v>180.17</v>
      </c>
      <c r="J541" s="29" cm="1">
        <f t="array" ref="J541">INDEX(Commandes!$B$2:$B$421,MATCH(B541,Commandes!$A$2:$A$421,0))</f>
        <v>45933</v>
      </c>
    </row>
    <row r="542" spans="1:10">
      <c r="A542" t="s">
        <v>1510</v>
      </c>
      <c r="B542" t="s">
        <v>770</v>
      </c>
      <c r="C542" t="s">
        <v>374</v>
      </c>
      <c r="D542">
        <v>1</v>
      </c>
      <c r="E542" s="27">
        <v>251.56</v>
      </c>
      <c r="F542" s="28">
        <v>0</v>
      </c>
      <c r="G542" s="27">
        <v>251.56</v>
      </c>
      <c r="H542" s="27">
        <v>50.31</v>
      </c>
      <c r="I542" s="27">
        <v>301.87</v>
      </c>
      <c r="J542" s="29" cm="1">
        <f t="array" ref="J542">INDEX(Commandes!$B$2:$B$421,MATCH(B542,Commandes!$A$2:$A$421,0))</f>
        <v>45737</v>
      </c>
    </row>
    <row r="543" spans="1:10">
      <c r="A543" t="s">
        <v>1511</v>
      </c>
      <c r="B543" t="s">
        <v>771</v>
      </c>
      <c r="C543" t="s">
        <v>425</v>
      </c>
      <c r="D543">
        <v>1</v>
      </c>
      <c r="E543" s="27">
        <v>36.08</v>
      </c>
      <c r="F543" s="28">
        <v>0</v>
      </c>
      <c r="G543" s="27">
        <v>36.08</v>
      </c>
      <c r="H543" s="27">
        <v>7.22</v>
      </c>
      <c r="I543" s="27">
        <v>43.3</v>
      </c>
      <c r="J543" s="29" cm="1">
        <f t="array" ref="J543">INDEX(Commandes!$B$2:$B$421,MATCH(B543,Commandes!$A$2:$A$421,0))</f>
        <v>45863</v>
      </c>
    </row>
    <row r="544" spans="1:10">
      <c r="A544" t="s">
        <v>1512</v>
      </c>
      <c r="B544" t="s">
        <v>771</v>
      </c>
      <c r="C544" t="s">
        <v>423</v>
      </c>
      <c r="D544">
        <v>2</v>
      </c>
      <c r="E544" s="27">
        <v>46.02</v>
      </c>
      <c r="F544" s="28">
        <v>0.1</v>
      </c>
      <c r="G544" s="27">
        <v>82.84</v>
      </c>
      <c r="H544" s="27">
        <v>16.57</v>
      </c>
      <c r="I544" s="27">
        <v>99.41</v>
      </c>
      <c r="J544" s="29" cm="1">
        <f t="array" ref="J544">INDEX(Commandes!$B$2:$B$421,MATCH(B544,Commandes!$A$2:$A$421,0))</f>
        <v>45863</v>
      </c>
    </row>
    <row r="545" spans="1:10">
      <c r="A545" t="s">
        <v>1513</v>
      </c>
      <c r="B545" t="s">
        <v>772</v>
      </c>
      <c r="C545" t="s">
        <v>440</v>
      </c>
      <c r="D545">
        <v>1</v>
      </c>
      <c r="E545" s="27">
        <v>391.34</v>
      </c>
      <c r="F545" s="28">
        <v>0.15</v>
      </c>
      <c r="G545" s="27">
        <v>332.64</v>
      </c>
      <c r="H545" s="27">
        <v>66.53</v>
      </c>
      <c r="I545" s="27">
        <v>399.17</v>
      </c>
      <c r="J545" s="29" cm="1">
        <f t="array" ref="J545">INDEX(Commandes!$B$2:$B$421,MATCH(B545,Commandes!$A$2:$A$421,0))</f>
        <v>45298</v>
      </c>
    </row>
    <row r="546" spans="1:10">
      <c r="A546" t="s">
        <v>1514</v>
      </c>
      <c r="B546" t="s">
        <v>772</v>
      </c>
      <c r="C546" t="s">
        <v>412</v>
      </c>
      <c r="D546">
        <v>2</v>
      </c>
      <c r="E546" s="27">
        <v>114.1</v>
      </c>
      <c r="F546" s="28">
        <v>0</v>
      </c>
      <c r="G546" s="27">
        <v>228.2</v>
      </c>
      <c r="H546" s="27">
        <v>45.64</v>
      </c>
      <c r="I546" s="27">
        <v>273.84</v>
      </c>
      <c r="J546" s="29" cm="1">
        <f t="array" ref="J546">INDEX(Commandes!$B$2:$B$421,MATCH(B546,Commandes!$A$2:$A$421,0))</f>
        <v>45298</v>
      </c>
    </row>
    <row r="547" spans="1:10">
      <c r="A547" t="s">
        <v>1515</v>
      </c>
      <c r="B547" t="s">
        <v>773</v>
      </c>
      <c r="C547" t="s">
        <v>444</v>
      </c>
      <c r="D547">
        <v>1</v>
      </c>
      <c r="E547" s="27">
        <v>442.3</v>
      </c>
      <c r="F547" s="28">
        <v>0.15</v>
      </c>
      <c r="G547" s="27">
        <v>375.95</v>
      </c>
      <c r="H547" s="27">
        <v>75.19</v>
      </c>
      <c r="I547" s="27">
        <v>451.14</v>
      </c>
      <c r="J547" s="29" cm="1">
        <f t="array" ref="J547">INDEX(Commandes!$B$2:$B$421,MATCH(B547,Commandes!$A$2:$A$421,0))</f>
        <v>45740</v>
      </c>
    </row>
    <row r="548" spans="1:10">
      <c r="A548" t="s">
        <v>1516</v>
      </c>
      <c r="B548" t="s">
        <v>773</v>
      </c>
      <c r="C548" t="s">
        <v>391</v>
      </c>
      <c r="D548">
        <v>1</v>
      </c>
      <c r="E548" s="27">
        <v>138.13</v>
      </c>
      <c r="F548" s="28">
        <v>0.15</v>
      </c>
      <c r="G548" s="27">
        <v>117.41</v>
      </c>
      <c r="H548" s="27">
        <v>23.48</v>
      </c>
      <c r="I548" s="27">
        <v>140.89</v>
      </c>
      <c r="J548" s="29" cm="1">
        <f t="array" ref="J548">INDEX(Commandes!$B$2:$B$421,MATCH(B548,Commandes!$A$2:$A$421,0))</f>
        <v>45740</v>
      </c>
    </row>
    <row r="549" spans="1:10">
      <c r="A549" t="s">
        <v>1517</v>
      </c>
      <c r="B549" t="s">
        <v>773</v>
      </c>
      <c r="C549" t="s">
        <v>459</v>
      </c>
      <c r="D549">
        <v>1</v>
      </c>
      <c r="E549" s="27">
        <v>70.8</v>
      </c>
      <c r="F549" s="28">
        <v>0</v>
      </c>
      <c r="G549" s="27">
        <v>70.8</v>
      </c>
      <c r="H549" s="27">
        <v>14.16</v>
      </c>
      <c r="I549" s="27">
        <v>84.96</v>
      </c>
      <c r="J549" s="29" cm="1">
        <f t="array" ref="J549">INDEX(Commandes!$B$2:$B$421,MATCH(B549,Commandes!$A$2:$A$421,0))</f>
        <v>45740</v>
      </c>
    </row>
    <row r="550" spans="1:10">
      <c r="A550" t="s">
        <v>1518</v>
      </c>
      <c r="B550" t="s">
        <v>774</v>
      </c>
      <c r="C550" t="s">
        <v>380</v>
      </c>
      <c r="D550">
        <v>1</v>
      </c>
      <c r="E550" s="27">
        <v>80.3</v>
      </c>
      <c r="F550" s="28">
        <v>0.15</v>
      </c>
      <c r="G550" s="27">
        <v>68.25</v>
      </c>
      <c r="H550" s="27">
        <v>13.65</v>
      </c>
      <c r="I550" s="27">
        <v>81.9</v>
      </c>
      <c r="J550" s="29" cm="1">
        <f t="array" ref="J550">INDEX(Commandes!$B$2:$B$421,MATCH(B550,Commandes!$A$2:$A$421,0))</f>
        <v>45858</v>
      </c>
    </row>
    <row r="551" spans="1:10">
      <c r="A551" t="s">
        <v>1519</v>
      </c>
      <c r="B551" t="s">
        <v>774</v>
      </c>
      <c r="C551" t="s">
        <v>471</v>
      </c>
      <c r="D551">
        <v>4</v>
      </c>
      <c r="E551" s="27">
        <v>35.83</v>
      </c>
      <c r="F551" s="28">
        <v>0</v>
      </c>
      <c r="G551" s="27">
        <v>143.32</v>
      </c>
      <c r="H551" s="27">
        <v>28.66</v>
      </c>
      <c r="I551" s="27">
        <v>171.98</v>
      </c>
      <c r="J551" s="29" cm="1">
        <f t="array" ref="J551">INDEX(Commandes!$B$2:$B$421,MATCH(B551,Commandes!$A$2:$A$421,0))</f>
        <v>45858</v>
      </c>
    </row>
    <row r="552" spans="1:10">
      <c r="A552" t="s">
        <v>1520</v>
      </c>
      <c r="B552" t="s">
        <v>775</v>
      </c>
      <c r="C552" t="s">
        <v>396</v>
      </c>
      <c r="D552">
        <v>2</v>
      </c>
      <c r="E552" s="27">
        <v>225.64</v>
      </c>
      <c r="F552" s="28">
        <v>0.1</v>
      </c>
      <c r="G552" s="27">
        <v>406.15</v>
      </c>
      <c r="H552" s="27">
        <v>81.23</v>
      </c>
      <c r="I552" s="27">
        <v>487.38</v>
      </c>
      <c r="J552" s="29" cm="1">
        <f t="array" ref="J552">INDEX(Commandes!$B$2:$B$421,MATCH(B552,Commandes!$A$2:$A$421,0))</f>
        <v>45508</v>
      </c>
    </row>
    <row r="553" spans="1:10">
      <c r="A553" t="s">
        <v>1521</v>
      </c>
      <c r="B553" t="s">
        <v>776</v>
      </c>
      <c r="C553" t="s">
        <v>406</v>
      </c>
      <c r="D553">
        <v>1</v>
      </c>
      <c r="E553" s="27">
        <v>18.86</v>
      </c>
      <c r="F553" s="28">
        <v>0.15</v>
      </c>
      <c r="G553" s="27">
        <v>16.03</v>
      </c>
      <c r="H553" s="27">
        <v>3.21</v>
      </c>
      <c r="I553" s="27">
        <v>19.24</v>
      </c>
      <c r="J553" s="29" cm="1">
        <f t="array" ref="J553">INDEX(Commandes!$B$2:$B$421,MATCH(B553,Commandes!$A$2:$A$421,0))</f>
        <v>45347</v>
      </c>
    </row>
    <row r="554" spans="1:10">
      <c r="A554" t="s">
        <v>1522</v>
      </c>
      <c r="B554" t="s">
        <v>776</v>
      </c>
      <c r="C554" t="s">
        <v>450</v>
      </c>
      <c r="D554">
        <v>2</v>
      </c>
      <c r="E554" s="27">
        <v>538.29</v>
      </c>
      <c r="F554" s="28">
        <v>0</v>
      </c>
      <c r="G554" s="27">
        <v>1076.58</v>
      </c>
      <c r="H554" s="27">
        <v>215.32</v>
      </c>
      <c r="I554" s="27">
        <v>1291.9</v>
      </c>
      <c r="J554" s="29" cm="1">
        <f t="array" ref="J554">INDEX(Commandes!$B$2:$B$421,MATCH(B554,Commandes!$A$2:$A$421,0))</f>
        <v>45347</v>
      </c>
    </row>
    <row r="555" spans="1:10">
      <c r="A555" t="s">
        <v>1523</v>
      </c>
      <c r="B555" t="s">
        <v>776</v>
      </c>
      <c r="C555" t="s">
        <v>419</v>
      </c>
      <c r="D555">
        <v>1</v>
      </c>
      <c r="E555" s="27">
        <v>100.34</v>
      </c>
      <c r="F555" s="28">
        <v>0.15</v>
      </c>
      <c r="G555" s="27">
        <v>85.29</v>
      </c>
      <c r="H555" s="27">
        <v>17.06</v>
      </c>
      <c r="I555" s="27">
        <v>102.35</v>
      </c>
      <c r="J555" s="29" cm="1">
        <f t="array" ref="J555">INDEX(Commandes!$B$2:$B$421,MATCH(B555,Commandes!$A$2:$A$421,0))</f>
        <v>45347</v>
      </c>
    </row>
    <row r="556" spans="1:10">
      <c r="A556" t="s">
        <v>1524</v>
      </c>
      <c r="B556" t="s">
        <v>777</v>
      </c>
      <c r="C556" t="s">
        <v>454</v>
      </c>
      <c r="D556">
        <v>2</v>
      </c>
      <c r="E556" s="27">
        <v>375.86</v>
      </c>
      <c r="F556" s="28">
        <v>0.15</v>
      </c>
      <c r="G556" s="27">
        <v>638.96</v>
      </c>
      <c r="H556" s="27">
        <v>127.79</v>
      </c>
      <c r="I556" s="27">
        <v>766.75</v>
      </c>
      <c r="J556" s="29" cm="1">
        <f t="array" ref="J556">INDEX(Commandes!$B$2:$B$421,MATCH(B556,Commandes!$A$2:$A$421,0))</f>
        <v>45532</v>
      </c>
    </row>
    <row r="557" spans="1:10">
      <c r="A557" t="s">
        <v>1525</v>
      </c>
      <c r="B557" t="s">
        <v>777</v>
      </c>
      <c r="C557" t="s">
        <v>450</v>
      </c>
      <c r="D557">
        <v>1</v>
      </c>
      <c r="E557" s="27">
        <v>538.29</v>
      </c>
      <c r="F557" s="28">
        <v>0.1</v>
      </c>
      <c r="G557" s="27">
        <v>484.46</v>
      </c>
      <c r="H557" s="27">
        <v>96.89</v>
      </c>
      <c r="I557" s="27">
        <v>581.35</v>
      </c>
      <c r="J557" s="29" cm="1">
        <f t="array" ref="J557">INDEX(Commandes!$B$2:$B$421,MATCH(B557,Commandes!$A$2:$A$421,0))</f>
        <v>45532</v>
      </c>
    </row>
    <row r="558" spans="1:10">
      <c r="A558" t="s">
        <v>1526</v>
      </c>
      <c r="B558" t="s">
        <v>778</v>
      </c>
      <c r="C558" t="s">
        <v>467</v>
      </c>
      <c r="D558">
        <v>3</v>
      </c>
      <c r="E558" s="27">
        <v>49.53</v>
      </c>
      <c r="F558" s="28">
        <v>0.05</v>
      </c>
      <c r="G558" s="27">
        <v>141.16</v>
      </c>
      <c r="H558" s="27">
        <v>28.23</v>
      </c>
      <c r="I558" s="27">
        <v>169.39</v>
      </c>
      <c r="J558" s="29" cm="1">
        <f t="array" ref="J558">INDEX(Commandes!$B$2:$B$421,MATCH(B558,Commandes!$A$2:$A$421,0))</f>
        <v>45665</v>
      </c>
    </row>
    <row r="559" spans="1:10">
      <c r="A559" t="s">
        <v>1527</v>
      </c>
      <c r="B559" t="s">
        <v>778</v>
      </c>
      <c r="C559" t="s">
        <v>408</v>
      </c>
      <c r="D559">
        <v>3</v>
      </c>
      <c r="E559" s="27">
        <v>19.65</v>
      </c>
      <c r="F559" s="28">
        <v>0</v>
      </c>
      <c r="G559" s="27">
        <v>58.95</v>
      </c>
      <c r="H559" s="27">
        <v>11.79</v>
      </c>
      <c r="I559" s="27">
        <v>70.74</v>
      </c>
      <c r="J559" s="29" cm="1">
        <f t="array" ref="J559">INDEX(Commandes!$B$2:$B$421,MATCH(B559,Commandes!$A$2:$A$421,0))</f>
        <v>45665</v>
      </c>
    </row>
    <row r="560" spans="1:10">
      <c r="A560" t="s">
        <v>1528</v>
      </c>
      <c r="B560" t="s">
        <v>778</v>
      </c>
      <c r="C560" t="s">
        <v>463</v>
      </c>
      <c r="D560">
        <v>3</v>
      </c>
      <c r="E560" s="27">
        <v>73.02</v>
      </c>
      <c r="F560" s="28">
        <v>0.05</v>
      </c>
      <c r="G560" s="27">
        <v>208.11</v>
      </c>
      <c r="H560" s="27">
        <v>41.62</v>
      </c>
      <c r="I560" s="27">
        <v>249.73</v>
      </c>
      <c r="J560" s="29" cm="1">
        <f t="array" ref="J560">INDEX(Commandes!$B$2:$B$421,MATCH(B560,Commandes!$A$2:$A$421,0))</f>
        <v>45665</v>
      </c>
    </row>
    <row r="561" spans="1:10">
      <c r="A561" t="s">
        <v>1529</v>
      </c>
      <c r="B561" t="s">
        <v>779</v>
      </c>
      <c r="C561" t="s">
        <v>380</v>
      </c>
      <c r="D561">
        <v>3</v>
      </c>
      <c r="E561" s="27">
        <v>80.3</v>
      </c>
      <c r="F561" s="28">
        <v>0</v>
      </c>
      <c r="G561" s="27">
        <v>240.9</v>
      </c>
      <c r="H561" s="27">
        <v>48.18</v>
      </c>
      <c r="I561" s="27">
        <v>289.08</v>
      </c>
      <c r="J561" s="29" cm="1">
        <f t="array" ref="J561">INDEX(Commandes!$B$2:$B$421,MATCH(B561,Commandes!$A$2:$A$421,0))</f>
        <v>45765</v>
      </c>
    </row>
    <row r="562" spans="1:10">
      <c r="A562" t="s">
        <v>1530</v>
      </c>
      <c r="B562" t="s">
        <v>779</v>
      </c>
      <c r="C562" t="s">
        <v>444</v>
      </c>
      <c r="D562">
        <v>1</v>
      </c>
      <c r="E562" s="27">
        <v>442.3</v>
      </c>
      <c r="F562" s="28">
        <v>0.15</v>
      </c>
      <c r="G562" s="27">
        <v>375.95</v>
      </c>
      <c r="H562" s="27">
        <v>75.19</v>
      </c>
      <c r="I562" s="27">
        <v>451.14</v>
      </c>
      <c r="J562" s="29" cm="1">
        <f t="array" ref="J562">INDEX(Commandes!$B$2:$B$421,MATCH(B562,Commandes!$A$2:$A$421,0))</f>
        <v>45765</v>
      </c>
    </row>
    <row r="563" spans="1:10">
      <c r="A563" t="s">
        <v>1531</v>
      </c>
      <c r="B563" t="s">
        <v>780</v>
      </c>
      <c r="C563" t="s">
        <v>400</v>
      </c>
      <c r="D563">
        <v>4</v>
      </c>
      <c r="E563" s="27">
        <v>328.03</v>
      </c>
      <c r="F563" s="28">
        <v>0.1</v>
      </c>
      <c r="G563" s="27">
        <v>1180.91</v>
      </c>
      <c r="H563" s="27">
        <v>236.18</v>
      </c>
      <c r="I563" s="27">
        <v>1417.09</v>
      </c>
      <c r="J563" s="29" cm="1">
        <f t="array" ref="J563">INDEX(Commandes!$B$2:$B$421,MATCH(B563,Commandes!$A$2:$A$421,0))</f>
        <v>45933</v>
      </c>
    </row>
    <row r="564" spans="1:10">
      <c r="A564" t="s">
        <v>1532</v>
      </c>
      <c r="B564" t="s">
        <v>780</v>
      </c>
      <c r="C564" t="s">
        <v>406</v>
      </c>
      <c r="D564">
        <v>2</v>
      </c>
      <c r="E564" s="27">
        <v>18.86</v>
      </c>
      <c r="F564" s="28">
        <v>0.1</v>
      </c>
      <c r="G564" s="27">
        <v>33.95</v>
      </c>
      <c r="H564" s="27">
        <v>6.79</v>
      </c>
      <c r="I564" s="27">
        <v>40.74</v>
      </c>
      <c r="J564" s="29" cm="1">
        <f t="array" ref="J564">INDEX(Commandes!$B$2:$B$421,MATCH(B564,Commandes!$A$2:$A$421,0))</f>
        <v>45933</v>
      </c>
    </row>
    <row r="565" spans="1:10">
      <c r="A565" t="s">
        <v>1533</v>
      </c>
      <c r="B565" t="s">
        <v>780</v>
      </c>
      <c r="C565" t="s">
        <v>435</v>
      </c>
      <c r="D565">
        <v>2</v>
      </c>
      <c r="E565" s="27">
        <v>262.34</v>
      </c>
      <c r="F565" s="28">
        <v>0</v>
      </c>
      <c r="G565" s="27">
        <v>524.68</v>
      </c>
      <c r="H565" s="27">
        <v>104.94</v>
      </c>
      <c r="I565" s="27">
        <v>629.62</v>
      </c>
      <c r="J565" s="29" cm="1">
        <f t="array" ref="J565">INDEX(Commandes!$B$2:$B$421,MATCH(B565,Commandes!$A$2:$A$421,0))</f>
        <v>45933</v>
      </c>
    </row>
    <row r="566" spans="1:10">
      <c r="A566" t="s">
        <v>1534</v>
      </c>
      <c r="B566" t="s">
        <v>781</v>
      </c>
      <c r="C566" t="s">
        <v>366</v>
      </c>
      <c r="D566">
        <v>2</v>
      </c>
      <c r="E566" s="27">
        <v>1103.64</v>
      </c>
      <c r="F566" s="28">
        <v>0.1</v>
      </c>
      <c r="G566" s="27">
        <v>1986.55</v>
      </c>
      <c r="H566" s="27">
        <v>397.31</v>
      </c>
      <c r="I566" s="27">
        <v>2383.86</v>
      </c>
      <c r="J566" s="29" cm="1">
        <f t="array" ref="J566">INDEX(Commandes!$B$2:$B$421,MATCH(B566,Commandes!$A$2:$A$421,0))</f>
        <v>45666</v>
      </c>
    </row>
    <row r="567" spans="1:10">
      <c r="A567" t="s">
        <v>1535</v>
      </c>
      <c r="B567" t="s">
        <v>781</v>
      </c>
      <c r="C567" t="s">
        <v>463</v>
      </c>
      <c r="D567">
        <v>1</v>
      </c>
      <c r="E567" s="27">
        <v>73.02</v>
      </c>
      <c r="F567" s="28">
        <v>0.1</v>
      </c>
      <c r="G567" s="27">
        <v>65.72</v>
      </c>
      <c r="H567" s="27">
        <v>13.14</v>
      </c>
      <c r="I567" s="27">
        <v>78.86</v>
      </c>
      <c r="J567" s="29" cm="1">
        <f t="array" ref="J567">INDEX(Commandes!$B$2:$B$421,MATCH(B567,Commandes!$A$2:$A$421,0))</f>
        <v>45666</v>
      </c>
    </row>
    <row r="568" spans="1:10">
      <c r="A568" t="s">
        <v>1536</v>
      </c>
      <c r="B568" t="s">
        <v>782</v>
      </c>
      <c r="C568" t="s">
        <v>372</v>
      </c>
      <c r="D568">
        <v>1</v>
      </c>
      <c r="E568" s="27">
        <v>216.77</v>
      </c>
      <c r="F568" s="28">
        <v>0.05</v>
      </c>
      <c r="G568" s="27">
        <v>205.93</v>
      </c>
      <c r="H568" s="27">
        <v>41.19</v>
      </c>
      <c r="I568" s="27">
        <v>247.12</v>
      </c>
      <c r="J568" s="29" cm="1">
        <f t="array" ref="J568">INDEX(Commandes!$B$2:$B$421,MATCH(B568,Commandes!$A$2:$A$421,0))</f>
        <v>45435</v>
      </c>
    </row>
    <row r="569" spans="1:10">
      <c r="A569" t="s">
        <v>1537</v>
      </c>
      <c r="B569" t="s">
        <v>782</v>
      </c>
      <c r="C569" t="s">
        <v>402</v>
      </c>
      <c r="D569">
        <v>1</v>
      </c>
      <c r="E569" s="27">
        <v>26.57</v>
      </c>
      <c r="F569" s="28">
        <v>0</v>
      </c>
      <c r="G569" s="27">
        <v>26.57</v>
      </c>
      <c r="H569" s="27">
        <v>5.31</v>
      </c>
      <c r="I569" s="27">
        <v>31.88</v>
      </c>
      <c r="J569" s="29" cm="1">
        <f t="array" ref="J569">INDEX(Commandes!$B$2:$B$421,MATCH(B569,Commandes!$A$2:$A$421,0))</f>
        <v>45435</v>
      </c>
    </row>
    <row r="570" spans="1:10">
      <c r="A570" t="s">
        <v>1538</v>
      </c>
      <c r="B570" t="s">
        <v>782</v>
      </c>
      <c r="C570" t="s">
        <v>402</v>
      </c>
      <c r="D570">
        <v>1</v>
      </c>
      <c r="E570" s="27">
        <v>26.57</v>
      </c>
      <c r="F570" s="28">
        <v>0</v>
      </c>
      <c r="G570" s="27">
        <v>26.57</v>
      </c>
      <c r="H570" s="27">
        <v>5.31</v>
      </c>
      <c r="I570" s="27">
        <v>31.88</v>
      </c>
      <c r="J570" s="29" cm="1">
        <f t="array" ref="J570">INDEX(Commandes!$B$2:$B$421,MATCH(B570,Commandes!$A$2:$A$421,0))</f>
        <v>45435</v>
      </c>
    </row>
    <row r="571" spans="1:10">
      <c r="A571" t="s">
        <v>1539</v>
      </c>
      <c r="B571" t="s">
        <v>782</v>
      </c>
      <c r="C571" t="s">
        <v>442</v>
      </c>
      <c r="D571">
        <v>4</v>
      </c>
      <c r="E571" s="27">
        <v>374.59</v>
      </c>
      <c r="F571" s="28">
        <v>0</v>
      </c>
      <c r="G571" s="27">
        <v>1498.36</v>
      </c>
      <c r="H571" s="27">
        <v>299.67</v>
      </c>
      <c r="I571" s="27">
        <v>1798.03</v>
      </c>
      <c r="J571" s="29" cm="1">
        <f t="array" ref="J571">INDEX(Commandes!$B$2:$B$421,MATCH(B571,Commandes!$A$2:$A$421,0))</f>
        <v>45435</v>
      </c>
    </row>
    <row r="572" spans="1:10">
      <c r="A572" t="s">
        <v>1540</v>
      </c>
      <c r="B572" t="s">
        <v>783</v>
      </c>
      <c r="C572" t="s">
        <v>442</v>
      </c>
      <c r="D572">
        <v>2</v>
      </c>
      <c r="E572" s="27">
        <v>374.59</v>
      </c>
      <c r="F572" s="28">
        <v>0</v>
      </c>
      <c r="G572" s="27">
        <v>749.18</v>
      </c>
      <c r="H572" s="27">
        <v>149.84</v>
      </c>
      <c r="I572" s="27">
        <v>899.02</v>
      </c>
      <c r="J572" s="29" cm="1">
        <f t="array" ref="J572">INDEX(Commandes!$B$2:$B$421,MATCH(B572,Commandes!$A$2:$A$421,0))</f>
        <v>45689</v>
      </c>
    </row>
    <row r="573" spans="1:10">
      <c r="A573" t="s">
        <v>1541</v>
      </c>
      <c r="B573" t="s">
        <v>783</v>
      </c>
      <c r="C573" t="s">
        <v>471</v>
      </c>
      <c r="D573">
        <v>1</v>
      </c>
      <c r="E573" s="27">
        <v>35.83</v>
      </c>
      <c r="F573" s="28">
        <v>0.1</v>
      </c>
      <c r="G573" s="27">
        <v>32.25</v>
      </c>
      <c r="H573" s="27">
        <v>6.45</v>
      </c>
      <c r="I573" s="27">
        <v>38.7</v>
      </c>
      <c r="J573" s="29" cm="1">
        <f t="array" ref="J573">INDEX(Commandes!$B$2:$B$421,MATCH(B573,Commandes!$A$2:$A$421,0))</f>
        <v>45689</v>
      </c>
    </row>
    <row r="574" spans="1:10">
      <c r="A574" t="s">
        <v>1542</v>
      </c>
      <c r="B574" t="s">
        <v>783</v>
      </c>
      <c r="C574" t="s">
        <v>448</v>
      </c>
      <c r="D574">
        <v>1</v>
      </c>
      <c r="E574" s="27">
        <v>543.43</v>
      </c>
      <c r="F574" s="28">
        <v>0.15</v>
      </c>
      <c r="G574" s="27">
        <v>461.92</v>
      </c>
      <c r="H574" s="27">
        <v>92.38</v>
      </c>
      <c r="I574" s="27">
        <v>554.3</v>
      </c>
      <c r="J574" s="29" cm="1">
        <f t="array" ref="J574">INDEX(Commandes!$B$2:$B$421,MATCH(B574,Commandes!$A$2:$A$421,0))</f>
        <v>45689</v>
      </c>
    </row>
    <row r="575" spans="1:10">
      <c r="A575" t="s">
        <v>1543</v>
      </c>
      <c r="B575" t="s">
        <v>784</v>
      </c>
      <c r="C575" t="s">
        <v>419</v>
      </c>
      <c r="D575">
        <v>3</v>
      </c>
      <c r="E575" s="27">
        <v>100.34</v>
      </c>
      <c r="F575" s="28">
        <v>0</v>
      </c>
      <c r="G575" s="27">
        <v>301.02</v>
      </c>
      <c r="H575" s="27">
        <v>60.2</v>
      </c>
      <c r="I575" s="27">
        <v>361.22</v>
      </c>
      <c r="J575" s="29" cm="1">
        <f t="array" ref="J575">INDEX(Commandes!$B$2:$B$421,MATCH(B575,Commandes!$A$2:$A$421,0))</f>
        <v>45679</v>
      </c>
    </row>
    <row r="576" spans="1:10">
      <c r="A576" t="s">
        <v>1544</v>
      </c>
      <c r="B576" t="s">
        <v>784</v>
      </c>
      <c r="C576" t="s">
        <v>438</v>
      </c>
      <c r="D576">
        <v>3</v>
      </c>
      <c r="E576" s="27">
        <v>295.97</v>
      </c>
      <c r="F576" s="28">
        <v>0.1</v>
      </c>
      <c r="G576" s="27">
        <v>799.12</v>
      </c>
      <c r="H576" s="27">
        <v>159.82</v>
      </c>
      <c r="I576" s="27">
        <v>958.94</v>
      </c>
      <c r="J576" s="29" cm="1">
        <f t="array" ref="J576">INDEX(Commandes!$B$2:$B$421,MATCH(B576,Commandes!$A$2:$A$421,0))</f>
        <v>45679</v>
      </c>
    </row>
    <row r="577" spans="1:10">
      <c r="A577" t="s">
        <v>1545</v>
      </c>
      <c r="B577" t="s">
        <v>785</v>
      </c>
      <c r="C577" t="s">
        <v>396</v>
      </c>
      <c r="D577">
        <v>1</v>
      </c>
      <c r="E577" s="27">
        <v>225.64</v>
      </c>
      <c r="F577" s="28">
        <v>0.1</v>
      </c>
      <c r="G577" s="27">
        <v>203.08</v>
      </c>
      <c r="H577" s="27">
        <v>40.62</v>
      </c>
      <c r="I577" s="27">
        <v>243.7</v>
      </c>
      <c r="J577" s="29" cm="1">
        <f t="array" ref="J577">INDEX(Commandes!$B$2:$B$421,MATCH(B577,Commandes!$A$2:$A$421,0))</f>
        <v>45298</v>
      </c>
    </row>
    <row r="578" spans="1:10">
      <c r="A578" t="s">
        <v>1546</v>
      </c>
      <c r="B578" t="s">
        <v>786</v>
      </c>
      <c r="C578" t="s">
        <v>435</v>
      </c>
      <c r="D578">
        <v>1</v>
      </c>
      <c r="E578" s="27">
        <v>262.34</v>
      </c>
      <c r="F578" s="28">
        <v>0</v>
      </c>
      <c r="G578" s="27">
        <v>262.34</v>
      </c>
      <c r="H578" s="27">
        <v>52.47</v>
      </c>
      <c r="I578" s="27">
        <v>314.81</v>
      </c>
      <c r="J578" s="29" cm="1">
        <f t="array" ref="J578">INDEX(Commandes!$B$2:$B$421,MATCH(B578,Commandes!$A$2:$A$421,0))</f>
        <v>45413</v>
      </c>
    </row>
    <row r="579" spans="1:10">
      <c r="A579" t="s">
        <v>1547</v>
      </c>
      <c r="B579" t="s">
        <v>786</v>
      </c>
      <c r="C579" t="s">
        <v>459</v>
      </c>
      <c r="D579">
        <v>3</v>
      </c>
      <c r="E579" s="27">
        <v>70.8</v>
      </c>
      <c r="F579" s="28">
        <v>0</v>
      </c>
      <c r="G579" s="27">
        <v>212.4</v>
      </c>
      <c r="H579" s="27">
        <v>42.48</v>
      </c>
      <c r="I579" s="27">
        <v>254.88</v>
      </c>
      <c r="J579" s="29" cm="1">
        <f t="array" ref="J579">INDEX(Commandes!$B$2:$B$421,MATCH(B579,Commandes!$A$2:$A$421,0))</f>
        <v>45413</v>
      </c>
    </row>
    <row r="580" spans="1:10">
      <c r="A580" t="s">
        <v>1548</v>
      </c>
      <c r="B580" t="s">
        <v>786</v>
      </c>
      <c r="C580" t="s">
        <v>404</v>
      </c>
      <c r="D580">
        <v>1</v>
      </c>
      <c r="E580" s="27">
        <v>30.09</v>
      </c>
      <c r="F580" s="28">
        <v>0.1</v>
      </c>
      <c r="G580" s="27">
        <v>27.08</v>
      </c>
      <c r="H580" s="27">
        <v>5.42</v>
      </c>
      <c r="I580" s="27">
        <v>32.5</v>
      </c>
      <c r="J580" s="29" cm="1">
        <f t="array" ref="J580">INDEX(Commandes!$B$2:$B$421,MATCH(B580,Commandes!$A$2:$A$421,0))</f>
        <v>45413</v>
      </c>
    </row>
    <row r="581" spans="1:10">
      <c r="A581" t="s">
        <v>1549</v>
      </c>
      <c r="B581" t="s">
        <v>787</v>
      </c>
      <c r="C581" t="s">
        <v>396</v>
      </c>
      <c r="D581">
        <v>2</v>
      </c>
      <c r="E581" s="27">
        <v>225.64</v>
      </c>
      <c r="F581" s="28">
        <v>0.05</v>
      </c>
      <c r="G581" s="27">
        <v>428.72</v>
      </c>
      <c r="H581" s="27">
        <v>85.74</v>
      </c>
      <c r="I581" s="27">
        <v>514.46</v>
      </c>
      <c r="J581" s="29" cm="1">
        <f t="array" ref="J581">INDEX(Commandes!$B$2:$B$421,MATCH(B581,Commandes!$A$2:$A$421,0))</f>
        <v>45898</v>
      </c>
    </row>
    <row r="582" spans="1:10">
      <c r="A582" t="s">
        <v>1550</v>
      </c>
      <c r="B582" t="s">
        <v>788</v>
      </c>
      <c r="C582" t="s">
        <v>435</v>
      </c>
      <c r="D582">
        <v>4</v>
      </c>
      <c r="E582" s="27">
        <v>262.34</v>
      </c>
      <c r="F582" s="28">
        <v>0</v>
      </c>
      <c r="G582" s="27">
        <v>1049.36</v>
      </c>
      <c r="H582" s="27">
        <v>209.87</v>
      </c>
      <c r="I582" s="27">
        <v>1259.23</v>
      </c>
      <c r="J582" s="29" cm="1">
        <f t="array" ref="J582">INDEX(Commandes!$B$2:$B$421,MATCH(B582,Commandes!$A$2:$A$421,0))</f>
        <v>45905</v>
      </c>
    </row>
    <row r="583" spans="1:10">
      <c r="A583" t="s">
        <v>1551</v>
      </c>
      <c r="B583" t="s">
        <v>788</v>
      </c>
      <c r="C583" t="s">
        <v>402</v>
      </c>
      <c r="D583">
        <v>3</v>
      </c>
      <c r="E583" s="27">
        <v>26.57</v>
      </c>
      <c r="F583" s="28">
        <v>0.1</v>
      </c>
      <c r="G583" s="27">
        <v>71.74</v>
      </c>
      <c r="H583" s="27">
        <v>14.35</v>
      </c>
      <c r="I583" s="27">
        <v>86.09</v>
      </c>
      <c r="J583" s="29" cm="1">
        <f t="array" ref="J583">INDEX(Commandes!$B$2:$B$421,MATCH(B583,Commandes!$A$2:$A$421,0))</f>
        <v>45905</v>
      </c>
    </row>
    <row r="584" spans="1:10">
      <c r="A584" t="s">
        <v>1552</v>
      </c>
      <c r="B584" t="s">
        <v>789</v>
      </c>
      <c r="C584" t="s">
        <v>417</v>
      </c>
      <c r="D584">
        <v>5</v>
      </c>
      <c r="E584" s="27">
        <v>59.79</v>
      </c>
      <c r="F584" s="28">
        <v>0.1</v>
      </c>
      <c r="G584" s="27">
        <v>269.06</v>
      </c>
      <c r="H584" s="27">
        <v>53.81</v>
      </c>
      <c r="I584" s="27">
        <v>322.87</v>
      </c>
      <c r="J584" s="29" cm="1">
        <f t="array" ref="J584">INDEX(Commandes!$B$2:$B$421,MATCH(B584,Commandes!$A$2:$A$421,0))</f>
        <v>45438</v>
      </c>
    </row>
    <row r="585" spans="1:10">
      <c r="A585" t="s">
        <v>1553</v>
      </c>
      <c r="B585" t="s">
        <v>789</v>
      </c>
      <c r="C585" t="s">
        <v>450</v>
      </c>
      <c r="D585">
        <v>1</v>
      </c>
      <c r="E585" s="27">
        <v>538.29</v>
      </c>
      <c r="F585" s="28">
        <v>0.05</v>
      </c>
      <c r="G585" s="27">
        <v>511.38</v>
      </c>
      <c r="H585" s="27">
        <v>102.28</v>
      </c>
      <c r="I585" s="27">
        <v>613.66</v>
      </c>
      <c r="J585" s="29" cm="1">
        <f t="array" ref="J585">INDEX(Commandes!$B$2:$B$421,MATCH(B585,Commandes!$A$2:$A$421,0))</f>
        <v>45438</v>
      </c>
    </row>
    <row r="586" spans="1:10">
      <c r="A586" t="s">
        <v>1554</v>
      </c>
      <c r="B586" t="s">
        <v>789</v>
      </c>
      <c r="C586" t="s">
        <v>423</v>
      </c>
      <c r="D586">
        <v>1</v>
      </c>
      <c r="E586" s="27">
        <v>46.02</v>
      </c>
      <c r="F586" s="28">
        <v>0</v>
      </c>
      <c r="G586" s="27">
        <v>46.02</v>
      </c>
      <c r="H586" s="27">
        <v>9.2</v>
      </c>
      <c r="I586" s="27">
        <v>55.22</v>
      </c>
      <c r="J586" s="29" cm="1">
        <f t="array" ref="J586">INDEX(Commandes!$B$2:$B$421,MATCH(B586,Commandes!$A$2:$A$421,0))</f>
        <v>45438</v>
      </c>
    </row>
    <row r="587" spans="1:10">
      <c r="A587" t="s">
        <v>1555</v>
      </c>
      <c r="B587" t="s">
        <v>790</v>
      </c>
      <c r="C587" t="s">
        <v>454</v>
      </c>
      <c r="D587">
        <v>2</v>
      </c>
      <c r="E587" s="27">
        <v>375.86</v>
      </c>
      <c r="F587" s="28">
        <v>0.1</v>
      </c>
      <c r="G587" s="27">
        <v>676.55</v>
      </c>
      <c r="H587" s="27">
        <v>135.31</v>
      </c>
      <c r="I587" s="27">
        <v>811.86</v>
      </c>
      <c r="J587" s="29" cm="1">
        <f t="array" ref="J587">INDEX(Commandes!$B$2:$B$421,MATCH(B587,Commandes!$A$2:$A$421,0))</f>
        <v>45499</v>
      </c>
    </row>
    <row r="588" spans="1:10">
      <c r="A588" t="s">
        <v>1556</v>
      </c>
      <c r="B588" t="s">
        <v>790</v>
      </c>
      <c r="C588" t="s">
        <v>440</v>
      </c>
      <c r="D588">
        <v>3</v>
      </c>
      <c r="E588" s="27">
        <v>391.34</v>
      </c>
      <c r="F588" s="28">
        <v>0</v>
      </c>
      <c r="G588" s="27">
        <v>1174.02</v>
      </c>
      <c r="H588" s="27">
        <v>234.8</v>
      </c>
      <c r="I588" s="27">
        <v>1408.82</v>
      </c>
      <c r="J588" s="29" cm="1">
        <f t="array" ref="J588">INDEX(Commandes!$B$2:$B$421,MATCH(B588,Commandes!$A$2:$A$421,0))</f>
        <v>45499</v>
      </c>
    </row>
    <row r="589" spans="1:10">
      <c r="A589" t="s">
        <v>1557</v>
      </c>
      <c r="B589" t="s">
        <v>791</v>
      </c>
      <c r="C589" t="s">
        <v>372</v>
      </c>
      <c r="D589">
        <v>2</v>
      </c>
      <c r="E589" s="27">
        <v>216.77</v>
      </c>
      <c r="F589" s="28">
        <v>0.05</v>
      </c>
      <c r="G589" s="27">
        <v>411.86</v>
      </c>
      <c r="H589" s="27">
        <v>82.37</v>
      </c>
      <c r="I589" s="27">
        <v>494.23</v>
      </c>
      <c r="J589" s="29" cm="1">
        <f t="array" ref="J589">INDEX(Commandes!$B$2:$B$421,MATCH(B589,Commandes!$A$2:$A$421,0))</f>
        <v>45785</v>
      </c>
    </row>
    <row r="590" spans="1:10">
      <c r="A590" t="s">
        <v>1558</v>
      </c>
      <c r="B590" t="s">
        <v>791</v>
      </c>
      <c r="C590" t="s">
        <v>402</v>
      </c>
      <c r="D590">
        <v>5</v>
      </c>
      <c r="E590" s="27">
        <v>26.57</v>
      </c>
      <c r="F590" s="28">
        <v>0.05</v>
      </c>
      <c r="G590" s="27">
        <v>126.21</v>
      </c>
      <c r="H590" s="27">
        <v>25.24</v>
      </c>
      <c r="I590" s="27">
        <v>151.45</v>
      </c>
      <c r="J590" s="29" cm="1">
        <f t="array" ref="J590">INDEX(Commandes!$B$2:$B$421,MATCH(B590,Commandes!$A$2:$A$421,0))</f>
        <v>45785</v>
      </c>
    </row>
    <row r="591" spans="1:10">
      <c r="A591" t="s">
        <v>1559</v>
      </c>
      <c r="B591" t="s">
        <v>792</v>
      </c>
      <c r="C591" t="s">
        <v>380</v>
      </c>
      <c r="D591">
        <v>1</v>
      </c>
      <c r="E591" s="27">
        <v>80.3</v>
      </c>
      <c r="F591" s="28">
        <v>0.1</v>
      </c>
      <c r="G591" s="27">
        <v>72.27</v>
      </c>
      <c r="H591" s="27">
        <v>14.45</v>
      </c>
      <c r="I591" s="27">
        <v>86.72</v>
      </c>
      <c r="J591" s="29" cm="1">
        <f t="array" ref="J591">INDEX(Commandes!$B$2:$B$421,MATCH(B591,Commandes!$A$2:$A$421,0))</f>
        <v>45682</v>
      </c>
    </row>
    <row r="592" spans="1:10">
      <c r="A592" t="s">
        <v>1560</v>
      </c>
      <c r="B592" t="s">
        <v>792</v>
      </c>
      <c r="C592" t="s">
        <v>427</v>
      </c>
      <c r="D592">
        <v>1</v>
      </c>
      <c r="E592" s="27">
        <v>25.25</v>
      </c>
      <c r="F592" s="28">
        <v>0</v>
      </c>
      <c r="G592" s="27">
        <v>25.25</v>
      </c>
      <c r="H592" s="27">
        <v>5.05</v>
      </c>
      <c r="I592" s="27">
        <v>30.3</v>
      </c>
      <c r="J592" s="29" cm="1">
        <f t="array" ref="J592">INDEX(Commandes!$B$2:$B$421,MATCH(B592,Commandes!$A$2:$A$421,0))</f>
        <v>45682</v>
      </c>
    </row>
    <row r="593" spans="1:10">
      <c r="A593" t="s">
        <v>1561</v>
      </c>
      <c r="B593" t="s">
        <v>792</v>
      </c>
      <c r="C593" t="s">
        <v>467</v>
      </c>
      <c r="D593">
        <v>3</v>
      </c>
      <c r="E593" s="27">
        <v>49.53</v>
      </c>
      <c r="F593" s="28">
        <v>0</v>
      </c>
      <c r="G593" s="27">
        <v>148.59</v>
      </c>
      <c r="H593" s="27">
        <v>29.72</v>
      </c>
      <c r="I593" s="27">
        <v>178.31</v>
      </c>
      <c r="J593" s="29" cm="1">
        <f t="array" ref="J593">INDEX(Commandes!$B$2:$B$421,MATCH(B593,Commandes!$A$2:$A$421,0))</f>
        <v>45682</v>
      </c>
    </row>
    <row r="594" spans="1:10">
      <c r="A594" t="s">
        <v>1562</v>
      </c>
      <c r="B594" t="s">
        <v>793</v>
      </c>
      <c r="C594" t="s">
        <v>383</v>
      </c>
      <c r="D594">
        <v>1</v>
      </c>
      <c r="E594" s="27">
        <v>39.08</v>
      </c>
      <c r="F594" s="28">
        <v>0.15</v>
      </c>
      <c r="G594" s="27">
        <v>33.22</v>
      </c>
      <c r="H594" s="27">
        <v>6.64</v>
      </c>
      <c r="I594" s="27">
        <v>39.86</v>
      </c>
      <c r="J594" s="29" cm="1">
        <f t="array" ref="J594">INDEX(Commandes!$B$2:$B$421,MATCH(B594,Commandes!$A$2:$A$421,0))</f>
        <v>45883</v>
      </c>
    </row>
    <row r="595" spans="1:10">
      <c r="A595" t="s">
        <v>1563</v>
      </c>
      <c r="B595" t="s">
        <v>793</v>
      </c>
      <c r="C595" t="s">
        <v>450</v>
      </c>
      <c r="D595">
        <v>1</v>
      </c>
      <c r="E595" s="27">
        <v>538.29</v>
      </c>
      <c r="F595" s="28">
        <v>0.1</v>
      </c>
      <c r="G595" s="27">
        <v>484.46</v>
      </c>
      <c r="H595" s="27">
        <v>96.89</v>
      </c>
      <c r="I595" s="27">
        <v>581.35</v>
      </c>
      <c r="J595" s="29" cm="1">
        <f t="array" ref="J595">INDEX(Commandes!$B$2:$B$421,MATCH(B595,Commandes!$A$2:$A$421,0))</f>
        <v>45883</v>
      </c>
    </row>
    <row r="596" spans="1:10">
      <c r="A596" t="s">
        <v>1564</v>
      </c>
      <c r="B596" t="s">
        <v>794</v>
      </c>
      <c r="C596" t="s">
        <v>446</v>
      </c>
      <c r="D596">
        <v>2</v>
      </c>
      <c r="E596" s="27">
        <v>454.43</v>
      </c>
      <c r="F596" s="28">
        <v>0</v>
      </c>
      <c r="G596" s="27">
        <v>908.86</v>
      </c>
      <c r="H596" s="27">
        <v>181.77</v>
      </c>
      <c r="I596" s="27">
        <v>1090.63</v>
      </c>
      <c r="J596" s="29" cm="1">
        <f t="array" ref="J596">INDEX(Commandes!$B$2:$B$421,MATCH(B596,Commandes!$A$2:$A$421,0))</f>
        <v>45725</v>
      </c>
    </row>
    <row r="597" spans="1:10">
      <c r="A597" t="s">
        <v>1565</v>
      </c>
      <c r="B597" t="s">
        <v>794</v>
      </c>
      <c r="C597" t="s">
        <v>446</v>
      </c>
      <c r="D597">
        <v>2</v>
      </c>
      <c r="E597" s="27">
        <v>454.43</v>
      </c>
      <c r="F597" s="28">
        <v>0</v>
      </c>
      <c r="G597" s="27">
        <v>908.86</v>
      </c>
      <c r="H597" s="27">
        <v>181.77</v>
      </c>
      <c r="I597" s="27">
        <v>1090.63</v>
      </c>
      <c r="J597" s="29" cm="1">
        <f t="array" ref="J597">INDEX(Commandes!$B$2:$B$421,MATCH(B597,Commandes!$A$2:$A$421,0))</f>
        <v>45725</v>
      </c>
    </row>
    <row r="598" spans="1:10">
      <c r="A598" t="s">
        <v>1566</v>
      </c>
      <c r="B598" t="s">
        <v>795</v>
      </c>
      <c r="C598" t="s">
        <v>465</v>
      </c>
      <c r="D598">
        <v>5</v>
      </c>
      <c r="E598" s="27">
        <v>44.16</v>
      </c>
      <c r="F598" s="28">
        <v>0</v>
      </c>
      <c r="G598" s="27">
        <v>220.8</v>
      </c>
      <c r="H598" s="27">
        <v>44.16</v>
      </c>
      <c r="I598" s="27">
        <v>264.96</v>
      </c>
      <c r="J598" s="29" cm="1">
        <f t="array" ref="J598">INDEX(Commandes!$B$2:$B$421,MATCH(B598,Commandes!$A$2:$A$421,0))</f>
        <v>45606</v>
      </c>
    </row>
    <row r="599" spans="1:10">
      <c r="A599" t="s">
        <v>1567</v>
      </c>
      <c r="B599" t="s">
        <v>795</v>
      </c>
      <c r="C599" t="s">
        <v>400</v>
      </c>
      <c r="D599">
        <v>2</v>
      </c>
      <c r="E599" s="27">
        <v>328.03</v>
      </c>
      <c r="F599" s="28">
        <v>0</v>
      </c>
      <c r="G599" s="27">
        <v>656.06</v>
      </c>
      <c r="H599" s="27">
        <v>131.21</v>
      </c>
      <c r="I599" s="27">
        <v>787.27</v>
      </c>
      <c r="J599" s="29" cm="1">
        <f t="array" ref="J599">INDEX(Commandes!$B$2:$B$421,MATCH(B599,Commandes!$A$2:$A$421,0))</f>
        <v>45606</v>
      </c>
    </row>
    <row r="600" spans="1:10">
      <c r="A600" t="s">
        <v>1568</v>
      </c>
      <c r="B600" t="s">
        <v>796</v>
      </c>
      <c r="C600" t="s">
        <v>435</v>
      </c>
      <c r="D600">
        <v>5</v>
      </c>
      <c r="E600" s="27">
        <v>262.34</v>
      </c>
      <c r="F600" s="28">
        <v>0.05</v>
      </c>
      <c r="G600" s="27">
        <v>1246.11</v>
      </c>
      <c r="H600" s="27">
        <v>249.22</v>
      </c>
      <c r="I600" s="27">
        <v>1495.33</v>
      </c>
      <c r="J600" s="29" cm="1">
        <f t="array" ref="J600">INDEX(Commandes!$B$2:$B$421,MATCH(B600,Commandes!$A$2:$A$421,0))</f>
        <v>45855</v>
      </c>
    </row>
    <row r="601" spans="1:10">
      <c r="A601" t="s">
        <v>1569</v>
      </c>
      <c r="B601" t="s">
        <v>796</v>
      </c>
      <c r="C601" t="s">
        <v>380</v>
      </c>
      <c r="D601">
        <v>1</v>
      </c>
      <c r="E601" s="27">
        <v>80.3</v>
      </c>
      <c r="F601" s="28">
        <v>0</v>
      </c>
      <c r="G601" s="27">
        <v>80.3</v>
      </c>
      <c r="H601" s="27">
        <v>16.06</v>
      </c>
      <c r="I601" s="27">
        <v>96.36</v>
      </c>
      <c r="J601" s="29" cm="1">
        <f t="array" ref="J601">INDEX(Commandes!$B$2:$B$421,MATCH(B601,Commandes!$A$2:$A$421,0))</f>
        <v>45855</v>
      </c>
    </row>
    <row r="602" spans="1:10">
      <c r="A602" t="s">
        <v>1570</v>
      </c>
      <c r="B602" t="s">
        <v>796</v>
      </c>
      <c r="C602" t="s">
        <v>421</v>
      </c>
      <c r="D602">
        <v>1</v>
      </c>
      <c r="E602" s="27">
        <v>78.78</v>
      </c>
      <c r="F602" s="28">
        <v>0</v>
      </c>
      <c r="G602" s="27">
        <v>78.78</v>
      </c>
      <c r="H602" s="27">
        <v>15.76</v>
      </c>
      <c r="I602" s="27">
        <v>94.54</v>
      </c>
      <c r="J602" s="29" cm="1">
        <f t="array" ref="J602">INDEX(Commandes!$B$2:$B$421,MATCH(B602,Commandes!$A$2:$A$421,0))</f>
        <v>45855</v>
      </c>
    </row>
    <row r="603" spans="1:10">
      <c r="A603" t="s">
        <v>1571</v>
      </c>
      <c r="B603" t="s">
        <v>797</v>
      </c>
      <c r="C603" t="s">
        <v>431</v>
      </c>
      <c r="D603">
        <v>1</v>
      </c>
      <c r="E603" s="27">
        <v>47.74</v>
      </c>
      <c r="F603" s="28">
        <v>0.15</v>
      </c>
      <c r="G603" s="27">
        <v>40.58</v>
      </c>
      <c r="H603" s="27">
        <v>8.12</v>
      </c>
      <c r="I603" s="27">
        <v>48.7</v>
      </c>
      <c r="J603" s="29" cm="1">
        <f t="array" ref="J603">INDEX(Commandes!$B$2:$B$421,MATCH(B603,Commandes!$A$2:$A$421,0))</f>
        <v>45685</v>
      </c>
    </row>
    <row r="604" spans="1:10">
      <c r="A604" t="s">
        <v>1572</v>
      </c>
      <c r="B604" t="s">
        <v>797</v>
      </c>
      <c r="C604" t="s">
        <v>442</v>
      </c>
      <c r="D604">
        <v>1</v>
      </c>
      <c r="E604" s="27">
        <v>374.59</v>
      </c>
      <c r="F604" s="28">
        <v>0</v>
      </c>
      <c r="G604" s="27">
        <v>374.59</v>
      </c>
      <c r="H604" s="27">
        <v>74.92</v>
      </c>
      <c r="I604" s="27">
        <v>449.51</v>
      </c>
      <c r="J604" s="29" cm="1">
        <f t="array" ref="J604">INDEX(Commandes!$B$2:$B$421,MATCH(B604,Commandes!$A$2:$A$421,0))</f>
        <v>45685</v>
      </c>
    </row>
    <row r="605" spans="1:10">
      <c r="A605" t="s">
        <v>1573</v>
      </c>
      <c r="B605" t="s">
        <v>798</v>
      </c>
      <c r="C605" t="s">
        <v>366</v>
      </c>
      <c r="D605">
        <v>8</v>
      </c>
      <c r="E605" s="27">
        <v>1103.64</v>
      </c>
      <c r="F605" s="28">
        <v>0</v>
      </c>
      <c r="G605" s="27">
        <v>8829.12</v>
      </c>
      <c r="H605" s="27">
        <v>1765.82</v>
      </c>
      <c r="I605" s="27">
        <v>10594.94</v>
      </c>
      <c r="J605" s="29" cm="1">
        <f t="array" ref="J605">INDEX(Commandes!$B$2:$B$421,MATCH(B605,Commandes!$A$2:$A$421,0))</f>
        <v>45905</v>
      </c>
    </row>
    <row r="606" spans="1:10">
      <c r="A606" t="s">
        <v>1574</v>
      </c>
      <c r="B606" t="s">
        <v>799</v>
      </c>
      <c r="C606" t="s">
        <v>471</v>
      </c>
      <c r="D606">
        <v>3</v>
      </c>
      <c r="E606" s="27">
        <v>35.83</v>
      </c>
      <c r="F606" s="28">
        <v>0</v>
      </c>
      <c r="G606" s="27">
        <v>107.49</v>
      </c>
      <c r="H606" s="27">
        <v>21.5</v>
      </c>
      <c r="I606" s="27">
        <v>128.99</v>
      </c>
      <c r="J606" s="29" cm="1">
        <f t="array" ref="J606">INDEX(Commandes!$B$2:$B$421,MATCH(B606,Commandes!$A$2:$A$421,0))</f>
        <v>45574</v>
      </c>
    </row>
    <row r="607" spans="1:10">
      <c r="A607" t="s">
        <v>1575</v>
      </c>
      <c r="B607" t="s">
        <v>799</v>
      </c>
      <c r="C607" t="s">
        <v>446</v>
      </c>
      <c r="D607">
        <v>1</v>
      </c>
      <c r="E607" s="27">
        <v>454.43</v>
      </c>
      <c r="F607" s="28">
        <v>0.1</v>
      </c>
      <c r="G607" s="27">
        <v>408.99</v>
      </c>
      <c r="H607" s="27">
        <v>81.8</v>
      </c>
      <c r="I607" s="27">
        <v>490.79</v>
      </c>
      <c r="J607" s="29" cm="1">
        <f t="array" ref="J607">INDEX(Commandes!$B$2:$B$421,MATCH(B607,Commandes!$A$2:$A$421,0))</f>
        <v>45574</v>
      </c>
    </row>
    <row r="608" spans="1:10">
      <c r="A608" t="s">
        <v>1576</v>
      </c>
      <c r="B608" t="s">
        <v>800</v>
      </c>
      <c r="C608" t="s">
        <v>448</v>
      </c>
      <c r="D608">
        <v>1</v>
      </c>
      <c r="E608" s="27">
        <v>543.43</v>
      </c>
      <c r="F608" s="28">
        <v>0</v>
      </c>
      <c r="G608" s="27">
        <v>543.43</v>
      </c>
      <c r="H608" s="27">
        <v>108.69</v>
      </c>
      <c r="I608" s="27">
        <v>652.12</v>
      </c>
      <c r="J608" s="29" cm="1">
        <f t="array" ref="J608">INDEX(Commandes!$B$2:$B$421,MATCH(B608,Commandes!$A$2:$A$421,0))</f>
        <v>45888</v>
      </c>
    </row>
    <row r="609" spans="1:10">
      <c r="A609" t="s">
        <v>1577</v>
      </c>
      <c r="B609" t="s">
        <v>800</v>
      </c>
      <c r="C609" t="s">
        <v>427</v>
      </c>
      <c r="D609">
        <v>2</v>
      </c>
      <c r="E609" s="27">
        <v>25.25</v>
      </c>
      <c r="F609" s="28">
        <v>0.1</v>
      </c>
      <c r="G609" s="27">
        <v>45.45</v>
      </c>
      <c r="H609" s="27">
        <v>9.09</v>
      </c>
      <c r="I609" s="27">
        <v>54.54</v>
      </c>
      <c r="J609" s="29" cm="1">
        <f t="array" ref="J609">INDEX(Commandes!$B$2:$B$421,MATCH(B609,Commandes!$A$2:$A$421,0))</f>
        <v>45888</v>
      </c>
    </row>
    <row r="610" spans="1:10">
      <c r="A610" t="s">
        <v>1578</v>
      </c>
      <c r="B610" t="s">
        <v>800</v>
      </c>
      <c r="C610" t="s">
        <v>377</v>
      </c>
      <c r="D610">
        <v>2</v>
      </c>
      <c r="E610" s="27">
        <v>84.94</v>
      </c>
      <c r="F610" s="28">
        <v>0</v>
      </c>
      <c r="G610" s="27">
        <v>169.88</v>
      </c>
      <c r="H610" s="27">
        <v>33.98</v>
      </c>
      <c r="I610" s="27">
        <v>203.86</v>
      </c>
      <c r="J610" s="29" cm="1">
        <f t="array" ref="J610">INDEX(Commandes!$B$2:$B$421,MATCH(B610,Commandes!$A$2:$A$421,0))</f>
        <v>45888</v>
      </c>
    </row>
    <row r="611" spans="1:10">
      <c r="A611" t="s">
        <v>1579</v>
      </c>
      <c r="B611" t="s">
        <v>800</v>
      </c>
      <c r="C611" t="s">
        <v>387</v>
      </c>
      <c r="D611">
        <v>3</v>
      </c>
      <c r="E611" s="27">
        <v>37.91</v>
      </c>
      <c r="F611" s="28">
        <v>0</v>
      </c>
      <c r="G611" s="27">
        <v>113.73</v>
      </c>
      <c r="H611" s="27">
        <v>22.75</v>
      </c>
      <c r="I611" s="27">
        <v>136.48</v>
      </c>
      <c r="J611" s="29" cm="1">
        <f t="array" ref="J611">INDEX(Commandes!$B$2:$B$421,MATCH(B611,Commandes!$A$2:$A$421,0))</f>
        <v>45888</v>
      </c>
    </row>
    <row r="612" spans="1:10">
      <c r="A612" t="s">
        <v>1580</v>
      </c>
      <c r="B612" t="s">
        <v>801</v>
      </c>
      <c r="C612" t="s">
        <v>473</v>
      </c>
      <c r="D612">
        <v>1</v>
      </c>
      <c r="E612" s="27">
        <v>40.73</v>
      </c>
      <c r="F612" s="28">
        <v>0.05</v>
      </c>
      <c r="G612" s="27">
        <v>38.69</v>
      </c>
      <c r="H612" s="27">
        <v>7.74</v>
      </c>
      <c r="I612" s="27">
        <v>46.43</v>
      </c>
      <c r="J612" s="29" cm="1">
        <f t="array" ref="J612">INDEX(Commandes!$B$2:$B$421,MATCH(B612,Commandes!$A$2:$A$421,0))</f>
        <v>45842</v>
      </c>
    </row>
    <row r="613" spans="1:10">
      <c r="A613" t="s">
        <v>1581</v>
      </c>
      <c r="B613" t="s">
        <v>801</v>
      </c>
      <c r="C613" t="s">
        <v>463</v>
      </c>
      <c r="D613">
        <v>2</v>
      </c>
      <c r="E613" s="27">
        <v>73.02</v>
      </c>
      <c r="F613" s="28">
        <v>0.1</v>
      </c>
      <c r="G613" s="27">
        <v>131.44</v>
      </c>
      <c r="H613" s="27">
        <v>26.29</v>
      </c>
      <c r="I613" s="27">
        <v>157.73</v>
      </c>
      <c r="J613" s="29" cm="1">
        <f t="array" ref="J613">INDEX(Commandes!$B$2:$B$421,MATCH(B613,Commandes!$A$2:$A$421,0))</f>
        <v>45842</v>
      </c>
    </row>
    <row r="614" spans="1:10">
      <c r="A614" t="s">
        <v>1582</v>
      </c>
      <c r="B614" t="s">
        <v>801</v>
      </c>
      <c r="C614" t="s">
        <v>370</v>
      </c>
      <c r="D614">
        <v>2</v>
      </c>
      <c r="E614" s="27">
        <v>970.58</v>
      </c>
      <c r="F614" s="28">
        <v>0</v>
      </c>
      <c r="G614" s="27">
        <v>1941.16</v>
      </c>
      <c r="H614" s="27">
        <v>388.23</v>
      </c>
      <c r="I614" s="27">
        <v>2329.39</v>
      </c>
      <c r="J614" s="29" cm="1">
        <f t="array" ref="J614">INDEX(Commandes!$B$2:$B$421,MATCH(B614,Commandes!$A$2:$A$421,0))</f>
        <v>45842</v>
      </c>
    </row>
    <row r="615" spans="1:10">
      <c r="A615" t="s">
        <v>1583</v>
      </c>
      <c r="B615" t="s">
        <v>802</v>
      </c>
      <c r="C615" t="s">
        <v>366</v>
      </c>
      <c r="D615">
        <v>3</v>
      </c>
      <c r="E615" s="27">
        <v>1103.64</v>
      </c>
      <c r="F615" s="28">
        <v>0</v>
      </c>
      <c r="G615" s="27">
        <v>3310.92</v>
      </c>
      <c r="H615" s="27">
        <v>662.18</v>
      </c>
      <c r="I615" s="27">
        <v>3973.1</v>
      </c>
      <c r="J615" s="29" cm="1">
        <f t="array" ref="J615">INDEX(Commandes!$B$2:$B$421,MATCH(B615,Commandes!$A$2:$A$421,0))</f>
        <v>45361</v>
      </c>
    </row>
    <row r="616" spans="1:10">
      <c r="A616" t="s">
        <v>1584</v>
      </c>
      <c r="B616" t="s">
        <v>802</v>
      </c>
      <c r="C616" t="s">
        <v>404</v>
      </c>
      <c r="D616">
        <v>1</v>
      </c>
      <c r="E616" s="27">
        <v>30.09</v>
      </c>
      <c r="F616" s="28">
        <v>0.05</v>
      </c>
      <c r="G616" s="27">
        <v>28.59</v>
      </c>
      <c r="H616" s="27">
        <v>5.72</v>
      </c>
      <c r="I616" s="27">
        <v>34.31</v>
      </c>
      <c r="J616" s="29" cm="1">
        <f t="array" ref="J616">INDEX(Commandes!$B$2:$B$421,MATCH(B616,Commandes!$A$2:$A$421,0))</f>
        <v>45361</v>
      </c>
    </row>
    <row r="617" spans="1:10">
      <c r="A617" t="s">
        <v>1585</v>
      </c>
      <c r="B617" t="s">
        <v>803</v>
      </c>
      <c r="C617" t="s">
        <v>400</v>
      </c>
      <c r="D617">
        <v>4</v>
      </c>
      <c r="E617" s="27">
        <v>328.03</v>
      </c>
      <c r="F617" s="28">
        <v>0</v>
      </c>
      <c r="G617" s="27">
        <v>1312.12</v>
      </c>
      <c r="H617" s="27">
        <v>262.42</v>
      </c>
      <c r="I617" s="27">
        <v>1574.54</v>
      </c>
      <c r="J617" s="29" cm="1">
        <f t="array" ref="J617">INDEX(Commandes!$B$2:$B$421,MATCH(B617,Commandes!$A$2:$A$421,0))</f>
        <v>45981</v>
      </c>
    </row>
    <row r="618" spans="1:10">
      <c r="A618" t="s">
        <v>1586</v>
      </c>
      <c r="B618" t="s">
        <v>803</v>
      </c>
      <c r="C618" t="s">
        <v>396</v>
      </c>
      <c r="D618">
        <v>5</v>
      </c>
      <c r="E618" s="27">
        <v>225.64</v>
      </c>
      <c r="F618" s="28">
        <v>0.15</v>
      </c>
      <c r="G618" s="27">
        <v>958.97</v>
      </c>
      <c r="H618" s="27">
        <v>191.79</v>
      </c>
      <c r="I618" s="27">
        <v>1150.76</v>
      </c>
      <c r="J618" s="29" cm="1">
        <f t="array" ref="J618">INDEX(Commandes!$B$2:$B$421,MATCH(B618,Commandes!$A$2:$A$421,0))</f>
        <v>45981</v>
      </c>
    </row>
    <row r="619" spans="1:10">
      <c r="A619" t="s">
        <v>1587</v>
      </c>
      <c r="B619" t="s">
        <v>804</v>
      </c>
      <c r="C619" t="s">
        <v>404</v>
      </c>
      <c r="D619">
        <v>3</v>
      </c>
      <c r="E619" s="27">
        <v>30.09</v>
      </c>
      <c r="F619" s="28">
        <v>0</v>
      </c>
      <c r="G619" s="27">
        <v>90.27</v>
      </c>
      <c r="H619" s="27">
        <v>18.05</v>
      </c>
      <c r="I619" s="27">
        <v>108.32</v>
      </c>
      <c r="J619" s="29" cm="1">
        <f t="array" ref="J619">INDEX(Commandes!$B$2:$B$421,MATCH(B619,Commandes!$A$2:$A$421,0))</f>
        <v>45486</v>
      </c>
    </row>
    <row r="620" spans="1:10">
      <c r="A620" t="s">
        <v>1588</v>
      </c>
      <c r="B620" t="s">
        <v>805</v>
      </c>
      <c r="C620" t="s">
        <v>444</v>
      </c>
      <c r="D620">
        <v>5</v>
      </c>
      <c r="E620" s="27">
        <v>442.3</v>
      </c>
      <c r="F620" s="28">
        <v>0.05</v>
      </c>
      <c r="G620" s="27">
        <v>2100.92</v>
      </c>
      <c r="H620" s="27">
        <v>420.18</v>
      </c>
      <c r="I620" s="27">
        <v>2521.1</v>
      </c>
      <c r="J620" s="29" cm="1">
        <f t="array" ref="J620">INDEX(Commandes!$B$2:$B$421,MATCH(B620,Commandes!$A$2:$A$421,0))</f>
        <v>45451</v>
      </c>
    </row>
    <row r="621" spans="1:10">
      <c r="A621" t="s">
        <v>1589</v>
      </c>
      <c r="B621" t="s">
        <v>805</v>
      </c>
      <c r="C621" t="s">
        <v>421</v>
      </c>
      <c r="D621">
        <v>2</v>
      </c>
      <c r="E621" s="27">
        <v>78.78</v>
      </c>
      <c r="F621" s="28">
        <v>0.05</v>
      </c>
      <c r="G621" s="27">
        <v>149.68</v>
      </c>
      <c r="H621" s="27">
        <v>29.94</v>
      </c>
      <c r="I621" s="27">
        <v>179.62</v>
      </c>
      <c r="J621" s="29" cm="1">
        <f t="array" ref="J621">INDEX(Commandes!$B$2:$B$421,MATCH(B621,Commandes!$A$2:$A$421,0))</f>
        <v>45451</v>
      </c>
    </row>
    <row r="622" spans="1:10">
      <c r="A622" t="s">
        <v>1590</v>
      </c>
      <c r="B622" t="s">
        <v>805</v>
      </c>
      <c r="C622" t="s">
        <v>448</v>
      </c>
      <c r="D622">
        <v>4</v>
      </c>
      <c r="E622" s="27">
        <v>543.43</v>
      </c>
      <c r="F622" s="28">
        <v>0.05</v>
      </c>
      <c r="G622" s="27">
        <v>2065.03</v>
      </c>
      <c r="H622" s="27">
        <v>413.01</v>
      </c>
      <c r="I622" s="27">
        <v>2478.04</v>
      </c>
      <c r="J622" s="29" cm="1">
        <f t="array" ref="J622">INDEX(Commandes!$B$2:$B$421,MATCH(B622,Commandes!$A$2:$A$421,0))</f>
        <v>45451</v>
      </c>
    </row>
    <row r="623" spans="1:10">
      <c r="A623" t="s">
        <v>1591</v>
      </c>
      <c r="B623" t="s">
        <v>806</v>
      </c>
      <c r="C623" t="s">
        <v>429</v>
      </c>
      <c r="D623">
        <v>2</v>
      </c>
      <c r="E623" s="27">
        <v>32.75</v>
      </c>
      <c r="F623" s="28">
        <v>0.1</v>
      </c>
      <c r="G623" s="27">
        <v>58.95</v>
      </c>
      <c r="H623" s="27">
        <v>11.79</v>
      </c>
      <c r="I623" s="27">
        <v>70.74</v>
      </c>
      <c r="J623" s="29" cm="1">
        <f t="array" ref="J623">INDEX(Commandes!$B$2:$B$421,MATCH(B623,Commandes!$A$2:$A$421,0))</f>
        <v>45479</v>
      </c>
    </row>
    <row r="624" spans="1:10">
      <c r="A624" t="s">
        <v>1592</v>
      </c>
      <c r="B624" t="s">
        <v>806</v>
      </c>
      <c r="C624" t="s">
        <v>372</v>
      </c>
      <c r="D624">
        <v>2</v>
      </c>
      <c r="E624" s="27">
        <v>216.77</v>
      </c>
      <c r="F624" s="28">
        <v>0.05</v>
      </c>
      <c r="G624" s="27">
        <v>411.86</v>
      </c>
      <c r="H624" s="27">
        <v>82.37</v>
      </c>
      <c r="I624" s="27">
        <v>494.23</v>
      </c>
      <c r="J624" s="29" cm="1">
        <f t="array" ref="J624">INDEX(Commandes!$B$2:$B$421,MATCH(B624,Commandes!$A$2:$A$421,0))</f>
        <v>45479</v>
      </c>
    </row>
    <row r="625" spans="1:10">
      <c r="A625" t="s">
        <v>1593</v>
      </c>
      <c r="B625" t="s">
        <v>807</v>
      </c>
      <c r="C625" t="s">
        <v>366</v>
      </c>
      <c r="D625">
        <v>2</v>
      </c>
      <c r="E625" s="27">
        <v>1103.64</v>
      </c>
      <c r="F625" s="28">
        <v>0.05</v>
      </c>
      <c r="G625" s="27">
        <v>2096.92</v>
      </c>
      <c r="H625" s="27">
        <v>419.38</v>
      </c>
      <c r="I625" s="27">
        <v>2516.3</v>
      </c>
      <c r="J625" s="29" cm="1">
        <f t="array" ref="J625">INDEX(Commandes!$B$2:$B$421,MATCH(B625,Commandes!$A$2:$A$421,0))</f>
        <v>45994</v>
      </c>
    </row>
    <row r="626" spans="1:10">
      <c r="A626" t="s">
        <v>1594</v>
      </c>
      <c r="B626" t="s">
        <v>807</v>
      </c>
      <c r="C626" t="s">
        <v>450</v>
      </c>
      <c r="D626">
        <v>1</v>
      </c>
      <c r="E626" s="27">
        <v>538.29</v>
      </c>
      <c r="F626" s="28">
        <v>0</v>
      </c>
      <c r="G626" s="27">
        <v>538.29</v>
      </c>
      <c r="H626" s="27">
        <v>107.66</v>
      </c>
      <c r="I626" s="27">
        <v>645.95</v>
      </c>
      <c r="J626" s="29" cm="1">
        <f t="array" ref="J626">INDEX(Commandes!$B$2:$B$421,MATCH(B626,Commandes!$A$2:$A$421,0))</f>
        <v>45994</v>
      </c>
    </row>
    <row r="627" spans="1:10">
      <c r="A627" t="s">
        <v>1595</v>
      </c>
      <c r="B627" t="s">
        <v>807</v>
      </c>
      <c r="C627" t="s">
        <v>454</v>
      </c>
      <c r="D627">
        <v>4</v>
      </c>
      <c r="E627" s="27">
        <v>375.86</v>
      </c>
      <c r="F627" s="28">
        <v>0</v>
      </c>
      <c r="G627" s="27">
        <v>1503.44</v>
      </c>
      <c r="H627" s="27">
        <v>300.69</v>
      </c>
      <c r="I627" s="27">
        <v>1804.13</v>
      </c>
      <c r="J627" s="29" cm="1">
        <f t="array" ref="J627">INDEX(Commandes!$B$2:$B$421,MATCH(B627,Commandes!$A$2:$A$421,0))</f>
        <v>45994</v>
      </c>
    </row>
    <row r="628" spans="1:10">
      <c r="A628" t="s">
        <v>1596</v>
      </c>
      <c r="B628" t="s">
        <v>808</v>
      </c>
      <c r="C628" t="s">
        <v>429</v>
      </c>
      <c r="D628">
        <v>1</v>
      </c>
      <c r="E628" s="27">
        <v>32.75</v>
      </c>
      <c r="F628" s="28">
        <v>0.15</v>
      </c>
      <c r="G628" s="27">
        <v>27.84</v>
      </c>
      <c r="H628" s="27">
        <v>5.57</v>
      </c>
      <c r="I628" s="27">
        <v>33.41</v>
      </c>
      <c r="J628" s="29" cm="1">
        <f t="array" ref="J628">INDEX(Commandes!$B$2:$B$421,MATCH(B628,Commandes!$A$2:$A$421,0))</f>
        <v>45853</v>
      </c>
    </row>
    <row r="629" spans="1:10">
      <c r="A629" t="s">
        <v>1597</v>
      </c>
      <c r="B629" t="s">
        <v>809</v>
      </c>
      <c r="C629" t="s">
        <v>469</v>
      </c>
      <c r="D629">
        <v>1</v>
      </c>
      <c r="E629" s="27">
        <v>30.71</v>
      </c>
      <c r="F629" s="28">
        <v>0</v>
      </c>
      <c r="G629" s="27">
        <v>30.71</v>
      </c>
      <c r="H629" s="27">
        <v>6.14</v>
      </c>
      <c r="I629" s="27">
        <v>36.85</v>
      </c>
      <c r="J629" s="29" cm="1">
        <f t="array" ref="J629">INDEX(Commandes!$B$2:$B$421,MATCH(B629,Commandes!$A$2:$A$421,0))</f>
        <v>45673</v>
      </c>
    </row>
    <row r="630" spans="1:10">
      <c r="A630" t="s">
        <v>1598</v>
      </c>
      <c r="B630" t="s">
        <v>809</v>
      </c>
      <c r="C630" t="s">
        <v>446</v>
      </c>
      <c r="D630">
        <v>1</v>
      </c>
      <c r="E630" s="27">
        <v>454.43</v>
      </c>
      <c r="F630" s="28">
        <v>0.05</v>
      </c>
      <c r="G630" s="27">
        <v>431.71</v>
      </c>
      <c r="H630" s="27">
        <v>86.34</v>
      </c>
      <c r="I630" s="27">
        <v>518.05</v>
      </c>
      <c r="J630" s="29" cm="1">
        <f t="array" ref="J630">INDEX(Commandes!$B$2:$B$421,MATCH(B630,Commandes!$A$2:$A$421,0))</f>
        <v>45673</v>
      </c>
    </row>
    <row r="631" spans="1:10">
      <c r="A631" t="s">
        <v>1599</v>
      </c>
      <c r="B631" t="s">
        <v>809</v>
      </c>
      <c r="C631" t="s">
        <v>398</v>
      </c>
      <c r="D631">
        <v>1</v>
      </c>
      <c r="E631" s="27">
        <v>383.91</v>
      </c>
      <c r="F631" s="28">
        <v>0.15</v>
      </c>
      <c r="G631" s="27">
        <v>326.32</v>
      </c>
      <c r="H631" s="27">
        <v>65.26</v>
      </c>
      <c r="I631" s="27">
        <v>391.58</v>
      </c>
      <c r="J631" s="29" cm="1">
        <f t="array" ref="J631">INDEX(Commandes!$B$2:$B$421,MATCH(B631,Commandes!$A$2:$A$421,0))</f>
        <v>45673</v>
      </c>
    </row>
    <row r="632" spans="1:10">
      <c r="A632" t="s">
        <v>1600</v>
      </c>
      <c r="B632" t="s">
        <v>810</v>
      </c>
      <c r="C632" t="s">
        <v>412</v>
      </c>
      <c r="D632">
        <v>1</v>
      </c>
      <c r="E632" s="27">
        <v>114.1</v>
      </c>
      <c r="F632" s="28">
        <v>0.1</v>
      </c>
      <c r="G632" s="27">
        <v>102.69</v>
      </c>
      <c r="H632" s="27">
        <v>20.54</v>
      </c>
      <c r="I632" s="27">
        <v>123.23</v>
      </c>
      <c r="J632" s="29" cm="1">
        <f t="array" ref="J632">INDEX(Commandes!$B$2:$B$421,MATCH(B632,Commandes!$A$2:$A$421,0))</f>
        <v>45445</v>
      </c>
    </row>
    <row r="633" spans="1:10">
      <c r="A633" t="s">
        <v>1601</v>
      </c>
      <c r="B633" t="s">
        <v>810</v>
      </c>
      <c r="C633" t="s">
        <v>374</v>
      </c>
      <c r="D633">
        <v>1</v>
      </c>
      <c r="E633" s="27">
        <v>251.56</v>
      </c>
      <c r="F633" s="28">
        <v>0.15</v>
      </c>
      <c r="G633" s="27">
        <v>213.83</v>
      </c>
      <c r="H633" s="27">
        <v>42.77</v>
      </c>
      <c r="I633" s="27">
        <v>256.6</v>
      </c>
      <c r="J633" s="29" cm="1">
        <f t="array" ref="J633">INDEX(Commandes!$B$2:$B$421,MATCH(B633,Commandes!$A$2:$A$421,0))</f>
        <v>45445</v>
      </c>
    </row>
    <row r="634" spans="1:10">
      <c r="A634" t="s">
        <v>1602</v>
      </c>
      <c r="B634" t="s">
        <v>810</v>
      </c>
      <c r="C634" t="s">
        <v>393</v>
      </c>
      <c r="D634">
        <v>1</v>
      </c>
      <c r="E634" s="27">
        <v>196.18</v>
      </c>
      <c r="F634" s="28">
        <v>0</v>
      </c>
      <c r="G634" s="27">
        <v>196.18</v>
      </c>
      <c r="H634" s="27">
        <v>39.24</v>
      </c>
      <c r="I634" s="27">
        <v>235.42</v>
      </c>
      <c r="J634" s="29" cm="1">
        <f t="array" ref="J634">INDEX(Commandes!$B$2:$B$421,MATCH(B634,Commandes!$A$2:$A$421,0))</f>
        <v>45445</v>
      </c>
    </row>
    <row r="635" spans="1:10">
      <c r="A635" t="s">
        <v>1603</v>
      </c>
      <c r="B635" t="s">
        <v>811</v>
      </c>
      <c r="C635" t="s">
        <v>446</v>
      </c>
      <c r="D635">
        <v>5</v>
      </c>
      <c r="E635" s="27">
        <v>454.43</v>
      </c>
      <c r="F635" s="28">
        <v>0</v>
      </c>
      <c r="G635" s="27">
        <v>2272.15</v>
      </c>
      <c r="H635" s="27">
        <v>454.43</v>
      </c>
      <c r="I635" s="27">
        <v>2726.58</v>
      </c>
      <c r="J635" s="29" cm="1">
        <f t="array" ref="J635">INDEX(Commandes!$B$2:$B$421,MATCH(B635,Commandes!$A$2:$A$421,0))</f>
        <v>45779</v>
      </c>
    </row>
    <row r="636" spans="1:10">
      <c r="A636" t="s">
        <v>1604</v>
      </c>
      <c r="B636" t="s">
        <v>811</v>
      </c>
      <c r="C636" t="s">
        <v>419</v>
      </c>
      <c r="D636">
        <v>1</v>
      </c>
      <c r="E636" s="27">
        <v>100.34</v>
      </c>
      <c r="F636" s="28">
        <v>0</v>
      </c>
      <c r="G636" s="27">
        <v>100.34</v>
      </c>
      <c r="H636" s="27">
        <v>20.07</v>
      </c>
      <c r="I636" s="27">
        <v>120.41</v>
      </c>
      <c r="J636" s="29" cm="1">
        <f t="array" ref="J636">INDEX(Commandes!$B$2:$B$421,MATCH(B636,Commandes!$A$2:$A$421,0))</f>
        <v>45779</v>
      </c>
    </row>
    <row r="637" spans="1:10">
      <c r="A637" t="s">
        <v>1605</v>
      </c>
      <c r="B637" t="s">
        <v>812</v>
      </c>
      <c r="C637" t="s">
        <v>463</v>
      </c>
      <c r="D637">
        <v>2</v>
      </c>
      <c r="E637" s="27">
        <v>73.02</v>
      </c>
      <c r="F637" s="28">
        <v>0.15</v>
      </c>
      <c r="G637" s="27">
        <v>124.13</v>
      </c>
      <c r="H637" s="27">
        <v>24.83</v>
      </c>
      <c r="I637" s="27">
        <v>148.96</v>
      </c>
      <c r="J637" s="29" cm="1">
        <f t="array" ref="J637">INDEX(Commandes!$B$2:$B$421,MATCH(B637,Commandes!$A$2:$A$421,0))</f>
        <v>45651</v>
      </c>
    </row>
    <row r="638" spans="1:10">
      <c r="A638" t="s">
        <v>1606</v>
      </c>
      <c r="B638" t="s">
        <v>812</v>
      </c>
      <c r="C638" t="s">
        <v>431</v>
      </c>
      <c r="D638">
        <v>4</v>
      </c>
      <c r="E638" s="27">
        <v>47.74</v>
      </c>
      <c r="F638" s="28">
        <v>0.05</v>
      </c>
      <c r="G638" s="27">
        <v>181.41</v>
      </c>
      <c r="H638" s="27">
        <v>36.28</v>
      </c>
      <c r="I638" s="27">
        <v>217.69</v>
      </c>
      <c r="J638" s="29" cm="1">
        <f t="array" ref="J638">INDEX(Commandes!$B$2:$B$421,MATCH(B638,Commandes!$A$2:$A$421,0))</f>
        <v>45651</v>
      </c>
    </row>
    <row r="639" spans="1:10">
      <c r="A639" t="s">
        <v>1607</v>
      </c>
      <c r="B639" t="s">
        <v>813</v>
      </c>
      <c r="C639" t="s">
        <v>448</v>
      </c>
      <c r="D639">
        <v>1</v>
      </c>
      <c r="E639" s="27">
        <v>543.43</v>
      </c>
      <c r="F639" s="28">
        <v>0</v>
      </c>
      <c r="G639" s="27">
        <v>543.43</v>
      </c>
      <c r="H639" s="27">
        <v>108.69</v>
      </c>
      <c r="I639" s="27">
        <v>652.12</v>
      </c>
      <c r="J639" s="29" cm="1">
        <f t="array" ref="J639">INDEX(Commandes!$B$2:$B$421,MATCH(B639,Commandes!$A$2:$A$421,0))</f>
        <v>45920</v>
      </c>
    </row>
    <row r="640" spans="1:10">
      <c r="A640" t="s">
        <v>1608</v>
      </c>
      <c r="B640" t="s">
        <v>813</v>
      </c>
      <c r="C640" t="s">
        <v>380</v>
      </c>
      <c r="D640">
        <v>1</v>
      </c>
      <c r="E640" s="27">
        <v>80.3</v>
      </c>
      <c r="F640" s="28">
        <v>0</v>
      </c>
      <c r="G640" s="27">
        <v>80.3</v>
      </c>
      <c r="H640" s="27">
        <v>16.06</v>
      </c>
      <c r="I640" s="27">
        <v>96.36</v>
      </c>
      <c r="J640" s="29" cm="1">
        <f t="array" ref="J640">INDEX(Commandes!$B$2:$B$421,MATCH(B640,Commandes!$A$2:$A$421,0))</f>
        <v>45920</v>
      </c>
    </row>
    <row r="641" spans="1:10">
      <c r="A641" t="s">
        <v>1609</v>
      </c>
      <c r="B641" t="s">
        <v>814</v>
      </c>
      <c r="C641" t="s">
        <v>475</v>
      </c>
      <c r="D641">
        <v>4</v>
      </c>
      <c r="E641" s="27">
        <v>42</v>
      </c>
      <c r="F641" s="28">
        <v>0</v>
      </c>
      <c r="G641" s="27">
        <v>168</v>
      </c>
      <c r="H641" s="27">
        <v>33.6</v>
      </c>
      <c r="I641" s="27">
        <v>201.6</v>
      </c>
      <c r="J641" s="29" cm="1">
        <f t="array" ref="J641">INDEX(Commandes!$B$2:$B$421,MATCH(B641,Commandes!$A$2:$A$421,0))</f>
        <v>45613</v>
      </c>
    </row>
    <row r="642" spans="1:10">
      <c r="A642" t="s">
        <v>1610</v>
      </c>
      <c r="B642" t="s">
        <v>814</v>
      </c>
      <c r="C642" t="s">
        <v>471</v>
      </c>
      <c r="D642">
        <v>2</v>
      </c>
      <c r="E642" s="27">
        <v>35.83</v>
      </c>
      <c r="F642" s="28">
        <v>0.05</v>
      </c>
      <c r="G642" s="27">
        <v>68.08</v>
      </c>
      <c r="H642" s="27">
        <v>13.62</v>
      </c>
      <c r="I642" s="27">
        <v>81.7</v>
      </c>
      <c r="J642" s="29" cm="1">
        <f t="array" ref="J642">INDEX(Commandes!$B$2:$B$421,MATCH(B642,Commandes!$A$2:$A$421,0))</f>
        <v>45613</v>
      </c>
    </row>
    <row r="643" spans="1:10">
      <c r="A643" t="s">
        <v>1611</v>
      </c>
      <c r="B643" t="s">
        <v>814</v>
      </c>
      <c r="C643" t="s">
        <v>427</v>
      </c>
      <c r="D643">
        <v>1</v>
      </c>
      <c r="E643" s="27">
        <v>25.25</v>
      </c>
      <c r="F643" s="28">
        <v>0</v>
      </c>
      <c r="G643" s="27">
        <v>25.25</v>
      </c>
      <c r="H643" s="27">
        <v>5.05</v>
      </c>
      <c r="I643" s="27">
        <v>30.3</v>
      </c>
      <c r="J643" s="29" cm="1">
        <f t="array" ref="J643">INDEX(Commandes!$B$2:$B$421,MATCH(B643,Commandes!$A$2:$A$421,0))</f>
        <v>45613</v>
      </c>
    </row>
    <row r="644" spans="1:10">
      <c r="A644" t="s">
        <v>1612</v>
      </c>
      <c r="B644" t="s">
        <v>814</v>
      </c>
      <c r="C644" t="s">
        <v>389</v>
      </c>
      <c r="D644">
        <v>3</v>
      </c>
      <c r="E644" s="27">
        <v>120.37</v>
      </c>
      <c r="F644" s="28">
        <v>0.15</v>
      </c>
      <c r="G644" s="27">
        <v>306.94</v>
      </c>
      <c r="H644" s="27">
        <v>61.39</v>
      </c>
      <c r="I644" s="27">
        <v>368.33</v>
      </c>
      <c r="J644" s="29" cm="1">
        <f t="array" ref="J644">INDEX(Commandes!$B$2:$B$421,MATCH(B644,Commandes!$A$2:$A$421,0))</f>
        <v>45613</v>
      </c>
    </row>
    <row r="645" spans="1:10">
      <c r="A645" t="s">
        <v>1613</v>
      </c>
      <c r="B645" t="s">
        <v>815</v>
      </c>
      <c r="C645" t="s">
        <v>435</v>
      </c>
      <c r="D645">
        <v>2</v>
      </c>
      <c r="E645" s="27">
        <v>262.34</v>
      </c>
      <c r="F645" s="28">
        <v>0</v>
      </c>
      <c r="G645" s="27">
        <v>524.68</v>
      </c>
      <c r="H645" s="27">
        <v>104.94</v>
      </c>
      <c r="I645" s="27">
        <v>629.62</v>
      </c>
      <c r="J645" s="29" cm="1">
        <f t="array" ref="J645">INDEX(Commandes!$B$2:$B$421,MATCH(B645,Commandes!$A$2:$A$421,0))</f>
        <v>45549</v>
      </c>
    </row>
    <row r="646" spans="1:10">
      <c r="A646" t="s">
        <v>1614</v>
      </c>
      <c r="B646" t="s">
        <v>816</v>
      </c>
      <c r="C646" t="s">
        <v>423</v>
      </c>
      <c r="D646">
        <v>1</v>
      </c>
      <c r="E646" s="27">
        <v>46.02</v>
      </c>
      <c r="F646" s="28">
        <v>0</v>
      </c>
      <c r="G646" s="27">
        <v>46.02</v>
      </c>
      <c r="H646" s="27">
        <v>9.2</v>
      </c>
      <c r="I646" s="27">
        <v>55.22</v>
      </c>
      <c r="J646" s="29" cm="1">
        <f t="array" ref="J646">INDEX(Commandes!$B$2:$B$421,MATCH(B646,Commandes!$A$2:$A$421,0))</f>
        <v>45698</v>
      </c>
    </row>
    <row r="647" spans="1:10">
      <c r="A647" t="s">
        <v>1615</v>
      </c>
      <c r="B647" t="s">
        <v>816</v>
      </c>
      <c r="C647" t="s">
        <v>471</v>
      </c>
      <c r="D647">
        <v>1</v>
      </c>
      <c r="E647" s="27">
        <v>35.83</v>
      </c>
      <c r="F647" s="28">
        <v>0.15</v>
      </c>
      <c r="G647" s="27">
        <v>30.46</v>
      </c>
      <c r="H647" s="27">
        <v>6.09</v>
      </c>
      <c r="I647" s="27">
        <v>36.55</v>
      </c>
      <c r="J647" s="29" cm="1">
        <f t="array" ref="J647">INDEX(Commandes!$B$2:$B$421,MATCH(B647,Commandes!$A$2:$A$421,0))</f>
        <v>45698</v>
      </c>
    </row>
    <row r="648" spans="1:10">
      <c r="A648" t="s">
        <v>1616</v>
      </c>
      <c r="B648" t="s">
        <v>816</v>
      </c>
      <c r="C648" t="s">
        <v>389</v>
      </c>
      <c r="D648">
        <v>1</v>
      </c>
      <c r="E648" s="27">
        <v>120.37</v>
      </c>
      <c r="F648" s="28">
        <v>0</v>
      </c>
      <c r="G648" s="27">
        <v>120.37</v>
      </c>
      <c r="H648" s="27">
        <v>24.07</v>
      </c>
      <c r="I648" s="27">
        <v>144.44</v>
      </c>
      <c r="J648" s="29" cm="1">
        <f t="array" ref="J648">INDEX(Commandes!$B$2:$B$421,MATCH(B648,Commandes!$A$2:$A$421,0))</f>
        <v>45698</v>
      </c>
    </row>
    <row r="649" spans="1:10">
      <c r="A649" t="s">
        <v>1617</v>
      </c>
      <c r="B649" t="s">
        <v>817</v>
      </c>
      <c r="C649" t="s">
        <v>389</v>
      </c>
      <c r="D649">
        <v>8</v>
      </c>
      <c r="E649" s="27">
        <v>120.37</v>
      </c>
      <c r="F649" s="28">
        <v>0.15</v>
      </c>
      <c r="G649" s="27">
        <v>818.52</v>
      </c>
      <c r="H649" s="27">
        <v>163.7</v>
      </c>
      <c r="I649" s="27">
        <v>982.22</v>
      </c>
      <c r="J649" s="29" cm="1">
        <f t="array" ref="J649">INDEX(Commandes!$B$2:$B$421,MATCH(B649,Commandes!$A$2:$A$421,0))</f>
        <v>45321</v>
      </c>
    </row>
    <row r="650" spans="1:10">
      <c r="A650" t="s">
        <v>1618</v>
      </c>
      <c r="B650" t="s">
        <v>817</v>
      </c>
      <c r="C650" t="s">
        <v>444</v>
      </c>
      <c r="D650">
        <v>1</v>
      </c>
      <c r="E650" s="27">
        <v>442.3</v>
      </c>
      <c r="F650" s="28">
        <v>0.1</v>
      </c>
      <c r="G650" s="27">
        <v>398.07</v>
      </c>
      <c r="H650" s="27">
        <v>79.61</v>
      </c>
      <c r="I650" s="27">
        <v>477.68</v>
      </c>
      <c r="J650" s="29" cm="1">
        <f t="array" ref="J650">INDEX(Commandes!$B$2:$B$421,MATCH(B650,Commandes!$A$2:$A$421,0))</f>
        <v>45321</v>
      </c>
    </row>
    <row r="651" spans="1:10">
      <c r="A651" t="s">
        <v>1619</v>
      </c>
      <c r="B651" t="s">
        <v>818</v>
      </c>
      <c r="C651" t="s">
        <v>402</v>
      </c>
      <c r="D651">
        <v>3</v>
      </c>
      <c r="E651" s="27">
        <v>26.57</v>
      </c>
      <c r="F651" s="28">
        <v>0.05</v>
      </c>
      <c r="G651" s="27">
        <v>75.72</v>
      </c>
      <c r="H651" s="27">
        <v>15.14</v>
      </c>
      <c r="I651" s="27">
        <v>90.86</v>
      </c>
      <c r="J651" s="29" cm="1">
        <f t="array" ref="J651">INDEX(Commandes!$B$2:$B$421,MATCH(B651,Commandes!$A$2:$A$421,0))</f>
        <v>45759</v>
      </c>
    </row>
    <row r="652" spans="1:10">
      <c r="A652" t="s">
        <v>1620</v>
      </c>
      <c r="B652" t="s">
        <v>818</v>
      </c>
      <c r="C652" t="s">
        <v>412</v>
      </c>
      <c r="D652">
        <v>1</v>
      </c>
      <c r="E652" s="27">
        <v>114.1</v>
      </c>
      <c r="F652" s="28">
        <v>0</v>
      </c>
      <c r="G652" s="27">
        <v>114.1</v>
      </c>
      <c r="H652" s="27">
        <v>22.82</v>
      </c>
      <c r="I652" s="27">
        <v>136.92</v>
      </c>
      <c r="J652" s="29" cm="1">
        <f t="array" ref="J652">INDEX(Commandes!$B$2:$B$421,MATCH(B652,Commandes!$A$2:$A$421,0))</f>
        <v>45759</v>
      </c>
    </row>
    <row r="653" spans="1:10">
      <c r="A653" t="s">
        <v>1621</v>
      </c>
      <c r="B653" t="s">
        <v>819</v>
      </c>
      <c r="C653" t="s">
        <v>444</v>
      </c>
      <c r="D653">
        <v>1</v>
      </c>
      <c r="E653" s="27">
        <v>442.3</v>
      </c>
      <c r="F653" s="28">
        <v>0.05</v>
      </c>
      <c r="G653" s="27">
        <v>420.19</v>
      </c>
      <c r="H653" s="27">
        <v>84.04</v>
      </c>
      <c r="I653" s="27">
        <v>504.23</v>
      </c>
      <c r="J653" s="29" cm="1">
        <f t="array" ref="J653">INDEX(Commandes!$B$2:$B$421,MATCH(B653,Commandes!$A$2:$A$421,0))</f>
        <v>45451</v>
      </c>
    </row>
    <row r="654" spans="1:10">
      <c r="A654" t="s">
        <v>1622</v>
      </c>
      <c r="B654" t="s">
        <v>820</v>
      </c>
      <c r="C654" t="s">
        <v>398</v>
      </c>
      <c r="D654">
        <v>1</v>
      </c>
      <c r="E654" s="27">
        <v>383.91</v>
      </c>
      <c r="F654" s="28">
        <v>0.1</v>
      </c>
      <c r="G654" s="27">
        <v>345.52</v>
      </c>
      <c r="H654" s="27">
        <v>69.1</v>
      </c>
      <c r="I654" s="27">
        <v>414.62</v>
      </c>
      <c r="J654" s="29" cm="1">
        <f t="array" ref="J654">INDEX(Commandes!$B$2:$B$421,MATCH(B654,Commandes!$A$2:$A$421,0))</f>
        <v>45780</v>
      </c>
    </row>
    <row r="655" spans="1:10">
      <c r="A655" t="s">
        <v>1623</v>
      </c>
      <c r="B655" t="s">
        <v>820</v>
      </c>
      <c r="C655" t="s">
        <v>429</v>
      </c>
      <c r="D655">
        <v>1</v>
      </c>
      <c r="E655" s="27">
        <v>32.75</v>
      </c>
      <c r="F655" s="28">
        <v>0</v>
      </c>
      <c r="G655" s="27">
        <v>32.75</v>
      </c>
      <c r="H655" s="27">
        <v>6.55</v>
      </c>
      <c r="I655" s="27">
        <v>39.3</v>
      </c>
      <c r="J655" s="29" cm="1">
        <f t="array" ref="J655">INDEX(Commandes!$B$2:$B$421,MATCH(B655,Commandes!$A$2:$A$421,0))</f>
        <v>45780</v>
      </c>
    </row>
    <row r="656" spans="1:10">
      <c r="A656" t="s">
        <v>1624</v>
      </c>
      <c r="B656" t="s">
        <v>821</v>
      </c>
      <c r="C656" t="s">
        <v>454</v>
      </c>
      <c r="D656">
        <v>3</v>
      </c>
      <c r="E656" s="27">
        <v>375.86</v>
      </c>
      <c r="F656" s="28">
        <v>0.15</v>
      </c>
      <c r="G656" s="27">
        <v>958.44</v>
      </c>
      <c r="H656" s="27">
        <v>191.69</v>
      </c>
      <c r="I656" s="27">
        <v>1150.13</v>
      </c>
      <c r="J656" s="29" cm="1">
        <f t="array" ref="J656">INDEX(Commandes!$B$2:$B$421,MATCH(B656,Commandes!$A$2:$A$421,0))</f>
        <v>45953</v>
      </c>
    </row>
    <row r="657" spans="1:10">
      <c r="A657" t="s">
        <v>1625</v>
      </c>
      <c r="B657" t="s">
        <v>821</v>
      </c>
      <c r="C657" t="s">
        <v>408</v>
      </c>
      <c r="D657">
        <v>1</v>
      </c>
      <c r="E657" s="27">
        <v>19.65</v>
      </c>
      <c r="F657" s="28">
        <v>0.15</v>
      </c>
      <c r="G657" s="27">
        <v>16.7</v>
      </c>
      <c r="H657" s="27">
        <v>3.34</v>
      </c>
      <c r="I657" s="27">
        <v>20.04</v>
      </c>
      <c r="J657" s="29" cm="1">
        <f t="array" ref="J657">INDEX(Commandes!$B$2:$B$421,MATCH(B657,Commandes!$A$2:$A$421,0))</f>
        <v>45953</v>
      </c>
    </row>
    <row r="658" spans="1:10">
      <c r="A658" t="s">
        <v>1626</v>
      </c>
      <c r="B658" t="s">
        <v>822</v>
      </c>
      <c r="C658" t="s">
        <v>387</v>
      </c>
      <c r="D658">
        <v>2</v>
      </c>
      <c r="E658" s="27">
        <v>37.91</v>
      </c>
      <c r="F658" s="28">
        <v>0.1</v>
      </c>
      <c r="G658" s="27">
        <v>68.24</v>
      </c>
      <c r="H658" s="27">
        <v>13.65</v>
      </c>
      <c r="I658" s="27">
        <v>81.89</v>
      </c>
      <c r="J658" s="29" cm="1">
        <f t="array" ref="J658">INDEX(Commandes!$B$2:$B$421,MATCH(B658,Commandes!$A$2:$A$421,0))</f>
        <v>45836</v>
      </c>
    </row>
    <row r="659" spans="1:10">
      <c r="A659" t="s">
        <v>1627</v>
      </c>
      <c r="B659" t="s">
        <v>823</v>
      </c>
      <c r="C659" t="s">
        <v>444</v>
      </c>
      <c r="D659">
        <v>1</v>
      </c>
      <c r="E659" s="27">
        <v>442.3</v>
      </c>
      <c r="F659" s="28">
        <v>0</v>
      </c>
      <c r="G659" s="27">
        <v>442.3</v>
      </c>
      <c r="H659" s="27">
        <v>88.46</v>
      </c>
      <c r="I659" s="27">
        <v>530.76</v>
      </c>
      <c r="J659" s="29" cm="1">
        <f t="array" ref="J659">INDEX(Commandes!$B$2:$B$421,MATCH(B659,Commandes!$A$2:$A$421,0))</f>
        <v>45755</v>
      </c>
    </row>
    <row r="660" spans="1:10">
      <c r="A660" t="s">
        <v>1628</v>
      </c>
      <c r="B660" t="s">
        <v>824</v>
      </c>
      <c r="C660" t="s">
        <v>438</v>
      </c>
      <c r="D660">
        <v>1</v>
      </c>
      <c r="E660" s="27">
        <v>295.97</v>
      </c>
      <c r="F660" s="28">
        <v>0.05</v>
      </c>
      <c r="G660" s="27">
        <v>281.17</v>
      </c>
      <c r="H660" s="27">
        <v>56.23</v>
      </c>
      <c r="I660" s="27">
        <v>337.4</v>
      </c>
      <c r="J660" s="29" cm="1">
        <f t="array" ref="J660">INDEX(Commandes!$B$2:$B$421,MATCH(B660,Commandes!$A$2:$A$421,0))</f>
        <v>45580</v>
      </c>
    </row>
    <row r="661" spans="1:10">
      <c r="A661" t="s">
        <v>1629</v>
      </c>
      <c r="B661" t="s">
        <v>825</v>
      </c>
      <c r="C661" t="s">
        <v>473</v>
      </c>
      <c r="D661">
        <v>5</v>
      </c>
      <c r="E661" s="27">
        <v>40.73</v>
      </c>
      <c r="F661" s="28">
        <v>0</v>
      </c>
      <c r="G661" s="27">
        <v>203.65</v>
      </c>
      <c r="H661" s="27">
        <v>40.73</v>
      </c>
      <c r="I661" s="27">
        <v>244.38</v>
      </c>
      <c r="J661" s="29" cm="1">
        <f t="array" ref="J661">INDEX(Commandes!$B$2:$B$421,MATCH(B661,Commandes!$A$2:$A$421,0))</f>
        <v>45611</v>
      </c>
    </row>
    <row r="662" spans="1:10">
      <c r="A662" t="s">
        <v>1630</v>
      </c>
      <c r="B662" t="s">
        <v>826</v>
      </c>
      <c r="C662" t="s">
        <v>406</v>
      </c>
      <c r="D662">
        <v>3</v>
      </c>
      <c r="E662" s="27">
        <v>18.86</v>
      </c>
      <c r="F662" s="28">
        <v>0</v>
      </c>
      <c r="G662" s="27">
        <v>56.58</v>
      </c>
      <c r="H662" s="27">
        <v>11.32</v>
      </c>
      <c r="I662" s="27">
        <v>67.9</v>
      </c>
      <c r="J662" s="29" cm="1">
        <f t="array" ref="J662">INDEX(Commandes!$B$2:$B$421,MATCH(B662,Commandes!$A$2:$A$421,0))</f>
        <v>45564</v>
      </c>
    </row>
    <row r="663" spans="1:10">
      <c r="A663" t="s">
        <v>1631</v>
      </c>
      <c r="B663" t="s">
        <v>826</v>
      </c>
      <c r="C663" t="s">
        <v>387</v>
      </c>
      <c r="D663">
        <v>8</v>
      </c>
      <c r="E663" s="27">
        <v>37.91</v>
      </c>
      <c r="F663" s="28">
        <v>0.15</v>
      </c>
      <c r="G663" s="27">
        <v>257.79</v>
      </c>
      <c r="H663" s="27">
        <v>51.56</v>
      </c>
      <c r="I663" s="27">
        <v>309.35</v>
      </c>
      <c r="J663" s="29" cm="1">
        <f t="array" ref="J663">INDEX(Commandes!$B$2:$B$421,MATCH(B663,Commandes!$A$2:$A$421,0))</f>
        <v>45564</v>
      </c>
    </row>
    <row r="664" spans="1:10">
      <c r="A664" t="s">
        <v>1632</v>
      </c>
      <c r="B664" t="s">
        <v>826</v>
      </c>
      <c r="C664" t="s">
        <v>404</v>
      </c>
      <c r="D664">
        <v>1</v>
      </c>
      <c r="E664" s="27">
        <v>30.09</v>
      </c>
      <c r="F664" s="28">
        <v>0.05</v>
      </c>
      <c r="G664" s="27">
        <v>28.59</v>
      </c>
      <c r="H664" s="27">
        <v>5.72</v>
      </c>
      <c r="I664" s="27">
        <v>34.31</v>
      </c>
      <c r="J664" s="29" cm="1">
        <f t="array" ref="J664">INDEX(Commandes!$B$2:$B$421,MATCH(B664,Commandes!$A$2:$A$421,0))</f>
        <v>45564</v>
      </c>
    </row>
    <row r="665" spans="1:10">
      <c r="A665" t="s">
        <v>1633</v>
      </c>
      <c r="B665" t="s">
        <v>826</v>
      </c>
      <c r="C665" t="s">
        <v>404</v>
      </c>
      <c r="D665">
        <v>3</v>
      </c>
      <c r="E665" s="27">
        <v>30.09</v>
      </c>
      <c r="F665" s="28">
        <v>0</v>
      </c>
      <c r="G665" s="27">
        <v>90.27</v>
      </c>
      <c r="H665" s="27">
        <v>18.05</v>
      </c>
      <c r="I665" s="27">
        <v>108.32</v>
      </c>
      <c r="J665" s="29" cm="1">
        <f t="array" ref="J665">INDEX(Commandes!$B$2:$B$421,MATCH(B665,Commandes!$A$2:$A$421,0))</f>
        <v>45564</v>
      </c>
    </row>
    <row r="666" spans="1:10">
      <c r="A666" t="s">
        <v>1634</v>
      </c>
      <c r="B666" t="s">
        <v>827</v>
      </c>
      <c r="C666" t="s">
        <v>469</v>
      </c>
      <c r="D666">
        <v>1</v>
      </c>
      <c r="E666" s="27">
        <v>30.71</v>
      </c>
      <c r="F666" s="28">
        <v>0.1</v>
      </c>
      <c r="G666" s="27">
        <v>27.64</v>
      </c>
      <c r="H666" s="27">
        <v>5.53</v>
      </c>
      <c r="I666" s="27">
        <v>33.17</v>
      </c>
      <c r="J666" s="29" cm="1">
        <f t="array" ref="J666">INDEX(Commandes!$B$2:$B$421,MATCH(B666,Commandes!$A$2:$A$421,0))</f>
        <v>45495</v>
      </c>
    </row>
    <row r="667" spans="1:10">
      <c r="A667" t="s">
        <v>1635</v>
      </c>
      <c r="B667" t="s">
        <v>828</v>
      </c>
      <c r="C667" t="s">
        <v>461</v>
      </c>
      <c r="D667">
        <v>1</v>
      </c>
      <c r="E667" s="27">
        <v>59.83</v>
      </c>
      <c r="F667" s="28">
        <v>0</v>
      </c>
      <c r="G667" s="27">
        <v>59.83</v>
      </c>
      <c r="H667" s="27">
        <v>11.97</v>
      </c>
      <c r="I667" s="27">
        <v>71.8</v>
      </c>
      <c r="J667" s="29" cm="1">
        <f t="array" ref="J667">INDEX(Commandes!$B$2:$B$421,MATCH(B667,Commandes!$A$2:$A$421,0))</f>
        <v>45825</v>
      </c>
    </row>
    <row r="668" spans="1:10">
      <c r="A668" t="s">
        <v>1636</v>
      </c>
      <c r="B668" t="s">
        <v>828</v>
      </c>
      <c r="C668" t="s">
        <v>404</v>
      </c>
      <c r="D668">
        <v>2</v>
      </c>
      <c r="E668" s="27">
        <v>30.09</v>
      </c>
      <c r="F668" s="28">
        <v>0</v>
      </c>
      <c r="G668" s="27">
        <v>60.18</v>
      </c>
      <c r="H668" s="27">
        <v>12.04</v>
      </c>
      <c r="I668" s="27">
        <v>72.22</v>
      </c>
      <c r="J668" s="29" cm="1">
        <f t="array" ref="J668">INDEX(Commandes!$B$2:$B$421,MATCH(B668,Commandes!$A$2:$A$421,0))</f>
        <v>45825</v>
      </c>
    </row>
    <row r="669" spans="1:10">
      <c r="A669" t="s">
        <v>1637</v>
      </c>
      <c r="B669" t="s">
        <v>828</v>
      </c>
      <c r="C669" t="s">
        <v>366</v>
      </c>
      <c r="D669">
        <v>1</v>
      </c>
      <c r="E669" s="27">
        <v>1103.64</v>
      </c>
      <c r="F669" s="28">
        <v>0</v>
      </c>
      <c r="G669" s="27">
        <v>1103.64</v>
      </c>
      <c r="H669" s="27">
        <v>220.73</v>
      </c>
      <c r="I669" s="27">
        <v>1324.37</v>
      </c>
      <c r="J669" s="29" cm="1">
        <f t="array" ref="J669">INDEX(Commandes!$B$2:$B$421,MATCH(B669,Commandes!$A$2:$A$421,0))</f>
        <v>45825</v>
      </c>
    </row>
    <row r="670" spans="1:10">
      <c r="A670" t="s">
        <v>1638</v>
      </c>
      <c r="B670" t="s">
        <v>828</v>
      </c>
      <c r="C670" t="s">
        <v>450</v>
      </c>
      <c r="D670">
        <v>1</v>
      </c>
      <c r="E670" s="27">
        <v>538.29</v>
      </c>
      <c r="F670" s="28">
        <v>0</v>
      </c>
      <c r="G670" s="27">
        <v>538.29</v>
      </c>
      <c r="H670" s="27">
        <v>107.66</v>
      </c>
      <c r="I670" s="27">
        <v>645.95</v>
      </c>
      <c r="J670" s="29" cm="1">
        <f t="array" ref="J670">INDEX(Commandes!$B$2:$B$421,MATCH(B670,Commandes!$A$2:$A$421,0))</f>
        <v>45825</v>
      </c>
    </row>
    <row r="671" spans="1:10">
      <c r="A671" t="s">
        <v>1639</v>
      </c>
      <c r="B671" t="s">
        <v>829</v>
      </c>
      <c r="C671" t="s">
        <v>404</v>
      </c>
      <c r="D671">
        <v>1</v>
      </c>
      <c r="E671" s="27">
        <v>30.09</v>
      </c>
      <c r="F671" s="28">
        <v>0</v>
      </c>
      <c r="G671" s="27">
        <v>30.09</v>
      </c>
      <c r="H671" s="27">
        <v>6.02</v>
      </c>
      <c r="I671" s="27">
        <v>36.11</v>
      </c>
      <c r="J671" s="29" cm="1">
        <f t="array" ref="J671">INDEX(Commandes!$B$2:$B$421,MATCH(B671,Commandes!$A$2:$A$421,0))</f>
        <v>45301</v>
      </c>
    </row>
    <row r="672" spans="1:10">
      <c r="A672" t="s">
        <v>1640</v>
      </c>
      <c r="B672" t="s">
        <v>829</v>
      </c>
      <c r="C672" t="s">
        <v>463</v>
      </c>
      <c r="D672">
        <v>2</v>
      </c>
      <c r="E672" s="27">
        <v>73.02</v>
      </c>
      <c r="F672" s="28">
        <v>0.15</v>
      </c>
      <c r="G672" s="27">
        <v>124.13</v>
      </c>
      <c r="H672" s="27">
        <v>24.83</v>
      </c>
      <c r="I672" s="27">
        <v>148.96</v>
      </c>
      <c r="J672" s="29" cm="1">
        <f t="array" ref="J672">INDEX(Commandes!$B$2:$B$421,MATCH(B672,Commandes!$A$2:$A$421,0))</f>
        <v>45301</v>
      </c>
    </row>
    <row r="673" spans="1:10">
      <c r="A673" t="s">
        <v>1641</v>
      </c>
      <c r="B673" t="s">
        <v>829</v>
      </c>
      <c r="C673" t="s">
        <v>374</v>
      </c>
      <c r="D673">
        <v>1</v>
      </c>
      <c r="E673" s="27">
        <v>251.56</v>
      </c>
      <c r="F673" s="28">
        <v>0.15</v>
      </c>
      <c r="G673" s="27">
        <v>213.83</v>
      </c>
      <c r="H673" s="27">
        <v>42.77</v>
      </c>
      <c r="I673" s="27">
        <v>256.6</v>
      </c>
      <c r="J673" s="29" cm="1">
        <f t="array" ref="J673">INDEX(Commandes!$B$2:$B$421,MATCH(B673,Commandes!$A$2:$A$421,0))</f>
        <v>45301</v>
      </c>
    </row>
    <row r="674" spans="1:10">
      <c r="A674" t="s">
        <v>1642</v>
      </c>
      <c r="B674" t="s">
        <v>830</v>
      </c>
      <c r="C674" t="s">
        <v>459</v>
      </c>
      <c r="D674">
        <v>3</v>
      </c>
      <c r="E674" s="27">
        <v>70.8</v>
      </c>
      <c r="F674" s="28">
        <v>0.05</v>
      </c>
      <c r="G674" s="27">
        <v>201.78</v>
      </c>
      <c r="H674" s="27">
        <v>40.36</v>
      </c>
      <c r="I674" s="27">
        <v>242.14</v>
      </c>
      <c r="J674" s="29" cm="1">
        <f t="array" ref="J674">INDEX(Commandes!$B$2:$B$421,MATCH(B674,Commandes!$A$2:$A$421,0))</f>
        <v>45449</v>
      </c>
    </row>
    <row r="675" spans="1:10">
      <c r="A675" t="s">
        <v>1643</v>
      </c>
      <c r="B675" t="s">
        <v>830</v>
      </c>
      <c r="C675" t="s">
        <v>469</v>
      </c>
      <c r="D675">
        <v>1</v>
      </c>
      <c r="E675" s="27">
        <v>30.71</v>
      </c>
      <c r="F675" s="28">
        <v>0.15</v>
      </c>
      <c r="G675" s="27">
        <v>26.1</v>
      </c>
      <c r="H675" s="27">
        <v>5.22</v>
      </c>
      <c r="I675" s="27">
        <v>31.32</v>
      </c>
      <c r="J675" s="29" cm="1">
        <f t="array" ref="J675">INDEX(Commandes!$B$2:$B$421,MATCH(B675,Commandes!$A$2:$A$421,0))</f>
        <v>45449</v>
      </c>
    </row>
    <row r="676" spans="1:10">
      <c r="A676" t="s">
        <v>1644</v>
      </c>
      <c r="B676" t="s">
        <v>830</v>
      </c>
      <c r="C676" t="s">
        <v>423</v>
      </c>
      <c r="D676">
        <v>1</v>
      </c>
      <c r="E676" s="27">
        <v>46.02</v>
      </c>
      <c r="F676" s="28">
        <v>0</v>
      </c>
      <c r="G676" s="27">
        <v>46.02</v>
      </c>
      <c r="H676" s="27">
        <v>9.2</v>
      </c>
      <c r="I676" s="27">
        <v>55.22</v>
      </c>
      <c r="J676" s="29" cm="1">
        <f t="array" ref="J676">INDEX(Commandes!$B$2:$B$421,MATCH(B676,Commandes!$A$2:$A$421,0))</f>
        <v>45449</v>
      </c>
    </row>
    <row r="677" spans="1:10">
      <c r="A677" t="s">
        <v>1645</v>
      </c>
      <c r="B677" t="s">
        <v>830</v>
      </c>
      <c r="C677" t="s">
        <v>406</v>
      </c>
      <c r="D677">
        <v>4</v>
      </c>
      <c r="E677" s="27">
        <v>18.86</v>
      </c>
      <c r="F677" s="28">
        <v>0.05</v>
      </c>
      <c r="G677" s="27">
        <v>71.67</v>
      </c>
      <c r="H677" s="27">
        <v>14.33</v>
      </c>
      <c r="I677" s="27">
        <v>86</v>
      </c>
      <c r="J677" s="29" cm="1">
        <f t="array" ref="J677">INDEX(Commandes!$B$2:$B$421,MATCH(B677,Commandes!$A$2:$A$421,0))</f>
        <v>45449</v>
      </c>
    </row>
    <row r="678" spans="1:10">
      <c r="A678" t="s">
        <v>1646</v>
      </c>
      <c r="B678" t="s">
        <v>830</v>
      </c>
      <c r="C678" t="s">
        <v>467</v>
      </c>
      <c r="D678">
        <v>1</v>
      </c>
      <c r="E678" s="27">
        <v>49.53</v>
      </c>
      <c r="F678" s="28">
        <v>0</v>
      </c>
      <c r="G678" s="27">
        <v>49.53</v>
      </c>
      <c r="H678" s="27">
        <v>9.91</v>
      </c>
      <c r="I678" s="27">
        <v>59.44</v>
      </c>
      <c r="J678" s="29" cm="1">
        <f t="array" ref="J678">INDEX(Commandes!$B$2:$B$421,MATCH(B678,Commandes!$A$2:$A$421,0))</f>
        <v>45449</v>
      </c>
    </row>
    <row r="679" spans="1:10">
      <c r="A679" t="s">
        <v>1647</v>
      </c>
      <c r="B679" t="s">
        <v>831</v>
      </c>
      <c r="C679" t="s">
        <v>408</v>
      </c>
      <c r="D679">
        <v>4</v>
      </c>
      <c r="E679" s="27">
        <v>19.65</v>
      </c>
      <c r="F679" s="28">
        <v>0.1</v>
      </c>
      <c r="G679" s="27">
        <v>70.74</v>
      </c>
      <c r="H679" s="27">
        <v>14.15</v>
      </c>
      <c r="I679" s="27">
        <v>84.89</v>
      </c>
      <c r="J679" s="29" cm="1">
        <f t="array" ref="J679">INDEX(Commandes!$B$2:$B$421,MATCH(B679,Commandes!$A$2:$A$421,0))</f>
        <v>45847</v>
      </c>
    </row>
    <row r="680" spans="1:10">
      <c r="A680" t="s">
        <v>1648</v>
      </c>
      <c r="B680" t="s">
        <v>831</v>
      </c>
      <c r="C680" t="s">
        <v>446</v>
      </c>
      <c r="D680">
        <v>1</v>
      </c>
      <c r="E680" s="27">
        <v>454.43</v>
      </c>
      <c r="F680" s="28">
        <v>0.1</v>
      </c>
      <c r="G680" s="27">
        <v>408.99</v>
      </c>
      <c r="H680" s="27">
        <v>81.8</v>
      </c>
      <c r="I680" s="27">
        <v>490.79</v>
      </c>
      <c r="J680" s="29" cm="1">
        <f t="array" ref="J680">INDEX(Commandes!$B$2:$B$421,MATCH(B680,Commandes!$A$2:$A$421,0))</f>
        <v>45847</v>
      </c>
    </row>
    <row r="681" spans="1:10">
      <c r="A681" t="s">
        <v>1649</v>
      </c>
      <c r="B681" t="s">
        <v>831</v>
      </c>
      <c r="C681" t="s">
        <v>391</v>
      </c>
      <c r="D681">
        <v>1</v>
      </c>
      <c r="E681" s="27">
        <v>138.13</v>
      </c>
      <c r="F681" s="28">
        <v>0</v>
      </c>
      <c r="G681" s="27">
        <v>138.13</v>
      </c>
      <c r="H681" s="27">
        <v>27.63</v>
      </c>
      <c r="I681" s="27">
        <v>165.76</v>
      </c>
      <c r="J681" s="29" cm="1">
        <f t="array" ref="J681">INDEX(Commandes!$B$2:$B$421,MATCH(B681,Commandes!$A$2:$A$421,0))</f>
        <v>45847</v>
      </c>
    </row>
    <row r="682" spans="1:10">
      <c r="A682" t="s">
        <v>1650</v>
      </c>
      <c r="B682" t="s">
        <v>832</v>
      </c>
      <c r="C682" t="s">
        <v>454</v>
      </c>
      <c r="D682">
        <v>4</v>
      </c>
      <c r="E682" s="27">
        <v>375.86</v>
      </c>
      <c r="F682" s="28">
        <v>0.1</v>
      </c>
      <c r="G682" s="27">
        <v>1353.1</v>
      </c>
      <c r="H682" s="27">
        <v>270.62</v>
      </c>
      <c r="I682" s="27">
        <v>1623.72</v>
      </c>
      <c r="J682" s="29" cm="1">
        <f t="array" ref="J682">INDEX(Commandes!$B$2:$B$421,MATCH(B682,Commandes!$A$2:$A$421,0))</f>
        <v>45846</v>
      </c>
    </row>
    <row r="683" spans="1:10">
      <c r="A683" t="s">
        <v>1651</v>
      </c>
      <c r="B683" t="s">
        <v>832</v>
      </c>
      <c r="C683" t="s">
        <v>404</v>
      </c>
      <c r="D683">
        <v>1</v>
      </c>
      <c r="E683" s="27">
        <v>30.09</v>
      </c>
      <c r="F683" s="28">
        <v>0</v>
      </c>
      <c r="G683" s="27">
        <v>30.09</v>
      </c>
      <c r="H683" s="27">
        <v>6.02</v>
      </c>
      <c r="I683" s="27">
        <v>36.11</v>
      </c>
      <c r="J683" s="29" cm="1">
        <f t="array" ref="J683">INDEX(Commandes!$B$2:$B$421,MATCH(B683,Commandes!$A$2:$A$421,0))</f>
        <v>45846</v>
      </c>
    </row>
    <row r="684" spans="1:10">
      <c r="A684" t="s">
        <v>1652</v>
      </c>
      <c r="B684" t="s">
        <v>832</v>
      </c>
      <c r="C684" t="s">
        <v>461</v>
      </c>
      <c r="D684">
        <v>8</v>
      </c>
      <c r="E684" s="27">
        <v>59.83</v>
      </c>
      <c r="F684" s="28">
        <v>0.05</v>
      </c>
      <c r="G684" s="27">
        <v>454.71</v>
      </c>
      <c r="H684" s="27">
        <v>90.94</v>
      </c>
      <c r="I684" s="27">
        <v>545.65</v>
      </c>
      <c r="J684" s="29" cm="1">
        <f t="array" ref="J684">INDEX(Commandes!$B$2:$B$421,MATCH(B684,Commandes!$A$2:$A$421,0))</f>
        <v>45846</v>
      </c>
    </row>
    <row r="685" spans="1:10">
      <c r="A685" t="s">
        <v>1653</v>
      </c>
      <c r="B685" t="s">
        <v>832</v>
      </c>
      <c r="C685" t="s">
        <v>398</v>
      </c>
      <c r="D685">
        <v>2</v>
      </c>
      <c r="E685" s="27">
        <v>383.91</v>
      </c>
      <c r="F685" s="28">
        <v>0.05</v>
      </c>
      <c r="G685" s="27">
        <v>729.43</v>
      </c>
      <c r="H685" s="27">
        <v>145.89</v>
      </c>
      <c r="I685" s="27">
        <v>875.32</v>
      </c>
      <c r="J685" s="29" cm="1">
        <f t="array" ref="J685">INDEX(Commandes!$B$2:$B$421,MATCH(B685,Commandes!$A$2:$A$421,0))</f>
        <v>45846</v>
      </c>
    </row>
    <row r="686" spans="1:10">
      <c r="A686" t="s">
        <v>1654</v>
      </c>
      <c r="B686" t="s">
        <v>833</v>
      </c>
      <c r="C686" t="s">
        <v>461</v>
      </c>
      <c r="D686">
        <v>1</v>
      </c>
      <c r="E686" s="27">
        <v>59.83</v>
      </c>
      <c r="F686" s="28">
        <v>0</v>
      </c>
      <c r="G686" s="27">
        <v>59.83</v>
      </c>
      <c r="H686" s="27">
        <v>11.97</v>
      </c>
      <c r="I686" s="27">
        <v>71.8</v>
      </c>
      <c r="J686" s="29" cm="1">
        <f t="array" ref="J686">INDEX(Commandes!$B$2:$B$421,MATCH(B686,Commandes!$A$2:$A$421,0))</f>
        <v>45856</v>
      </c>
    </row>
    <row r="687" spans="1:10">
      <c r="A687" t="s">
        <v>1655</v>
      </c>
      <c r="B687" t="s">
        <v>834</v>
      </c>
      <c r="C687" t="s">
        <v>459</v>
      </c>
      <c r="D687">
        <v>3</v>
      </c>
      <c r="E687" s="27">
        <v>70.8</v>
      </c>
      <c r="F687" s="28">
        <v>0.15</v>
      </c>
      <c r="G687" s="27">
        <v>180.54</v>
      </c>
      <c r="H687" s="27">
        <v>36.11</v>
      </c>
      <c r="I687" s="27">
        <v>216.65</v>
      </c>
      <c r="J687" s="29" cm="1">
        <f t="array" ref="J687">INDEX(Commandes!$B$2:$B$421,MATCH(B687,Commandes!$A$2:$A$421,0))</f>
        <v>45474</v>
      </c>
    </row>
    <row r="688" spans="1:10">
      <c r="A688" t="s">
        <v>1656</v>
      </c>
      <c r="B688" t="s">
        <v>835</v>
      </c>
      <c r="C688" t="s">
        <v>400</v>
      </c>
      <c r="D688">
        <v>2</v>
      </c>
      <c r="E688" s="27">
        <v>328.03</v>
      </c>
      <c r="F688" s="28">
        <v>0</v>
      </c>
      <c r="G688" s="27">
        <v>656.06</v>
      </c>
      <c r="H688" s="27">
        <v>131.21</v>
      </c>
      <c r="I688" s="27">
        <v>787.27</v>
      </c>
      <c r="J688" s="29" cm="1">
        <f t="array" ref="J688">INDEX(Commandes!$B$2:$B$421,MATCH(B688,Commandes!$A$2:$A$421,0))</f>
        <v>45793</v>
      </c>
    </row>
    <row r="689" spans="1:10">
      <c r="A689" t="s">
        <v>1657</v>
      </c>
      <c r="B689" t="s">
        <v>836</v>
      </c>
      <c r="C689" t="s">
        <v>374</v>
      </c>
      <c r="D689">
        <v>3</v>
      </c>
      <c r="E689" s="27">
        <v>251.56</v>
      </c>
      <c r="F689" s="28">
        <v>0</v>
      </c>
      <c r="G689" s="27">
        <v>754.68</v>
      </c>
      <c r="H689" s="27">
        <v>150.94</v>
      </c>
      <c r="I689" s="27">
        <v>905.62</v>
      </c>
      <c r="J689" s="29" cm="1">
        <f t="array" ref="J689">INDEX(Commandes!$B$2:$B$421,MATCH(B689,Commandes!$A$2:$A$421,0))</f>
        <v>45771</v>
      </c>
    </row>
    <row r="690" spans="1:10">
      <c r="A690" t="s">
        <v>1658</v>
      </c>
      <c r="B690" t="s">
        <v>836</v>
      </c>
      <c r="C690" t="s">
        <v>442</v>
      </c>
      <c r="D690">
        <v>1</v>
      </c>
      <c r="E690" s="27">
        <v>374.59</v>
      </c>
      <c r="F690" s="28">
        <v>0</v>
      </c>
      <c r="G690" s="27">
        <v>374.59</v>
      </c>
      <c r="H690" s="27">
        <v>74.92</v>
      </c>
      <c r="I690" s="27">
        <v>449.51</v>
      </c>
      <c r="J690" s="29" cm="1">
        <f t="array" ref="J690">INDEX(Commandes!$B$2:$B$421,MATCH(B690,Commandes!$A$2:$A$421,0))</f>
        <v>45771</v>
      </c>
    </row>
    <row r="691" spans="1:10">
      <c r="A691" t="s">
        <v>1659</v>
      </c>
      <c r="B691" t="s">
        <v>836</v>
      </c>
      <c r="C691" t="s">
        <v>412</v>
      </c>
      <c r="D691">
        <v>1</v>
      </c>
      <c r="E691" s="27">
        <v>114.1</v>
      </c>
      <c r="F691" s="28">
        <v>0</v>
      </c>
      <c r="G691" s="27">
        <v>114.1</v>
      </c>
      <c r="H691" s="27">
        <v>22.82</v>
      </c>
      <c r="I691" s="27">
        <v>136.92</v>
      </c>
      <c r="J691" s="29" cm="1">
        <f t="array" ref="J691">INDEX(Commandes!$B$2:$B$421,MATCH(B691,Commandes!$A$2:$A$421,0))</f>
        <v>45771</v>
      </c>
    </row>
    <row r="692" spans="1:10">
      <c r="A692" t="s">
        <v>1660</v>
      </c>
      <c r="B692" t="s">
        <v>837</v>
      </c>
      <c r="C692" t="s">
        <v>404</v>
      </c>
      <c r="D692">
        <v>2</v>
      </c>
      <c r="E692" s="27">
        <v>30.09</v>
      </c>
      <c r="F692" s="28">
        <v>0</v>
      </c>
      <c r="G692" s="27">
        <v>60.18</v>
      </c>
      <c r="H692" s="27">
        <v>12.04</v>
      </c>
      <c r="I692" s="27">
        <v>72.22</v>
      </c>
      <c r="J692" s="29" cm="1">
        <f t="array" ref="J692">INDEX(Commandes!$B$2:$B$421,MATCH(B692,Commandes!$A$2:$A$421,0))</f>
        <v>45823</v>
      </c>
    </row>
    <row r="693" spans="1:10">
      <c r="A693" t="s">
        <v>1661</v>
      </c>
      <c r="B693" t="s">
        <v>837</v>
      </c>
      <c r="C693" t="s">
        <v>446</v>
      </c>
      <c r="D693">
        <v>3</v>
      </c>
      <c r="E693" s="27">
        <v>454.43</v>
      </c>
      <c r="F693" s="28">
        <v>0.05</v>
      </c>
      <c r="G693" s="27">
        <v>1295.13</v>
      </c>
      <c r="H693" s="27">
        <v>259.03</v>
      </c>
      <c r="I693" s="27">
        <v>1554.16</v>
      </c>
      <c r="J693" s="29" cm="1">
        <f t="array" ref="J693">INDEX(Commandes!$B$2:$B$421,MATCH(B693,Commandes!$A$2:$A$421,0))</f>
        <v>45823</v>
      </c>
    </row>
    <row r="694" spans="1:10">
      <c r="A694" t="s">
        <v>1662</v>
      </c>
      <c r="B694" t="s">
        <v>838</v>
      </c>
      <c r="C694" t="s">
        <v>396</v>
      </c>
      <c r="D694">
        <v>2</v>
      </c>
      <c r="E694" s="27">
        <v>225.64</v>
      </c>
      <c r="F694" s="28">
        <v>0.1</v>
      </c>
      <c r="G694" s="27">
        <v>406.15</v>
      </c>
      <c r="H694" s="27">
        <v>81.23</v>
      </c>
      <c r="I694" s="27">
        <v>487.38</v>
      </c>
      <c r="J694" s="29" cm="1">
        <f t="array" ref="J694">INDEX(Commandes!$B$2:$B$421,MATCH(B694,Commandes!$A$2:$A$421,0))</f>
        <v>45400</v>
      </c>
    </row>
    <row r="695" spans="1:10">
      <c r="A695" t="s">
        <v>1663</v>
      </c>
      <c r="B695" t="s">
        <v>839</v>
      </c>
      <c r="C695" t="s">
        <v>427</v>
      </c>
      <c r="D695">
        <v>3</v>
      </c>
      <c r="E695" s="27">
        <v>25.25</v>
      </c>
      <c r="F695" s="28">
        <v>0.05</v>
      </c>
      <c r="G695" s="27">
        <v>71.96</v>
      </c>
      <c r="H695" s="27">
        <v>14.39</v>
      </c>
      <c r="I695" s="27">
        <v>86.35</v>
      </c>
      <c r="J695" s="29" cm="1">
        <f t="array" ref="J695">INDEX(Commandes!$B$2:$B$421,MATCH(B695,Commandes!$A$2:$A$421,0))</f>
        <v>45637</v>
      </c>
    </row>
    <row r="696" spans="1:10">
      <c r="A696" t="s">
        <v>1664</v>
      </c>
      <c r="B696" t="s">
        <v>839</v>
      </c>
      <c r="C696" t="s">
        <v>469</v>
      </c>
      <c r="D696">
        <v>1</v>
      </c>
      <c r="E696" s="27">
        <v>30.71</v>
      </c>
      <c r="F696" s="28">
        <v>0</v>
      </c>
      <c r="G696" s="27">
        <v>30.71</v>
      </c>
      <c r="H696" s="27">
        <v>6.14</v>
      </c>
      <c r="I696" s="27">
        <v>36.85</v>
      </c>
      <c r="J696" s="29" cm="1">
        <f t="array" ref="J696">INDEX(Commandes!$B$2:$B$421,MATCH(B696,Commandes!$A$2:$A$421,0))</f>
        <v>45637</v>
      </c>
    </row>
    <row r="697" spans="1:10">
      <c r="A697" t="s">
        <v>1665</v>
      </c>
      <c r="B697" t="s">
        <v>839</v>
      </c>
      <c r="C697" t="s">
        <v>448</v>
      </c>
      <c r="D697">
        <v>2</v>
      </c>
      <c r="E697" s="27">
        <v>543.43</v>
      </c>
      <c r="F697" s="28">
        <v>0.05</v>
      </c>
      <c r="G697" s="27">
        <v>1032.52</v>
      </c>
      <c r="H697" s="27">
        <v>206.5</v>
      </c>
      <c r="I697" s="27">
        <v>1239.02</v>
      </c>
      <c r="J697" s="29" cm="1">
        <f t="array" ref="J697">INDEX(Commandes!$B$2:$B$421,MATCH(B697,Commandes!$A$2:$A$421,0))</f>
        <v>45637</v>
      </c>
    </row>
    <row r="698" spans="1:10">
      <c r="A698" t="s">
        <v>1666</v>
      </c>
      <c r="B698" t="s">
        <v>840</v>
      </c>
      <c r="C698" t="s">
        <v>372</v>
      </c>
      <c r="D698">
        <v>10</v>
      </c>
      <c r="E698" s="27">
        <v>216.77</v>
      </c>
      <c r="F698" s="28">
        <v>0.1</v>
      </c>
      <c r="G698" s="27">
        <v>1950.93</v>
      </c>
      <c r="H698" s="27">
        <v>390.19</v>
      </c>
      <c r="I698" s="27">
        <v>2341.12</v>
      </c>
      <c r="J698" s="29" cm="1">
        <f t="array" ref="J698">INDEX(Commandes!$B$2:$B$421,MATCH(B698,Commandes!$A$2:$A$421,0))</f>
        <v>45855</v>
      </c>
    </row>
    <row r="699" spans="1:10">
      <c r="A699" t="s">
        <v>1667</v>
      </c>
      <c r="B699" t="s">
        <v>841</v>
      </c>
      <c r="C699" t="s">
        <v>370</v>
      </c>
      <c r="D699">
        <v>3</v>
      </c>
      <c r="E699" s="27">
        <v>970.58</v>
      </c>
      <c r="F699" s="28">
        <v>0.15</v>
      </c>
      <c r="G699" s="27">
        <v>2474.98</v>
      </c>
      <c r="H699" s="27">
        <v>495</v>
      </c>
      <c r="I699" s="27">
        <v>2969.98</v>
      </c>
      <c r="J699" s="29" cm="1">
        <f t="array" ref="J699">INDEX(Commandes!$B$2:$B$421,MATCH(B699,Commandes!$A$2:$A$421,0))</f>
        <v>45308</v>
      </c>
    </row>
    <row r="700" spans="1:10">
      <c r="A700" t="s">
        <v>1668</v>
      </c>
      <c r="B700" t="s">
        <v>841</v>
      </c>
      <c r="C700" t="s">
        <v>408</v>
      </c>
      <c r="D700">
        <v>4</v>
      </c>
      <c r="E700" s="27">
        <v>19.65</v>
      </c>
      <c r="F700" s="28">
        <v>0.1</v>
      </c>
      <c r="G700" s="27">
        <v>70.74</v>
      </c>
      <c r="H700" s="27">
        <v>14.15</v>
      </c>
      <c r="I700" s="27">
        <v>84.89</v>
      </c>
      <c r="J700" s="29" cm="1">
        <f t="array" ref="J700">INDEX(Commandes!$B$2:$B$421,MATCH(B700,Commandes!$A$2:$A$421,0))</f>
        <v>45308</v>
      </c>
    </row>
    <row r="701" spans="1:10">
      <c r="A701" t="s">
        <v>1669</v>
      </c>
      <c r="B701" t="s">
        <v>841</v>
      </c>
      <c r="C701" t="s">
        <v>446</v>
      </c>
      <c r="D701">
        <v>2</v>
      </c>
      <c r="E701" s="27">
        <v>454.43</v>
      </c>
      <c r="F701" s="28">
        <v>0.1</v>
      </c>
      <c r="G701" s="27">
        <v>817.97</v>
      </c>
      <c r="H701" s="27">
        <v>163.59</v>
      </c>
      <c r="I701" s="27">
        <v>981.56</v>
      </c>
      <c r="J701" s="29" cm="1">
        <f t="array" ref="J701">INDEX(Commandes!$B$2:$B$421,MATCH(B701,Commandes!$A$2:$A$421,0))</f>
        <v>45308</v>
      </c>
    </row>
    <row r="702" spans="1:10">
      <c r="A702" t="s">
        <v>1670</v>
      </c>
      <c r="B702" t="s">
        <v>841</v>
      </c>
      <c r="C702" t="s">
        <v>391</v>
      </c>
      <c r="D702">
        <v>1</v>
      </c>
      <c r="E702" s="27">
        <v>138.13</v>
      </c>
      <c r="F702" s="28">
        <v>0.05</v>
      </c>
      <c r="G702" s="27">
        <v>131.22</v>
      </c>
      <c r="H702" s="27">
        <v>26.24</v>
      </c>
      <c r="I702" s="27">
        <v>157.46</v>
      </c>
      <c r="J702" s="29" cm="1">
        <f t="array" ref="J702">INDEX(Commandes!$B$2:$B$421,MATCH(B702,Commandes!$A$2:$A$421,0))</f>
        <v>45308</v>
      </c>
    </row>
    <row r="703" spans="1:10">
      <c r="A703" t="s">
        <v>1671</v>
      </c>
      <c r="B703" t="s">
        <v>842</v>
      </c>
      <c r="C703" t="s">
        <v>412</v>
      </c>
      <c r="D703">
        <v>1</v>
      </c>
      <c r="E703" s="27">
        <v>114.1</v>
      </c>
      <c r="F703" s="28">
        <v>0.05</v>
      </c>
      <c r="G703" s="27">
        <v>108.39</v>
      </c>
      <c r="H703" s="27">
        <v>21.68</v>
      </c>
      <c r="I703" s="27">
        <v>130.07</v>
      </c>
      <c r="J703" s="29" cm="1">
        <f t="array" ref="J703">INDEX(Commandes!$B$2:$B$421,MATCH(B703,Commandes!$A$2:$A$421,0))</f>
        <v>45656</v>
      </c>
    </row>
    <row r="704" spans="1:10">
      <c r="A704" t="s">
        <v>1672</v>
      </c>
      <c r="B704" t="s">
        <v>843</v>
      </c>
      <c r="C704" t="s">
        <v>465</v>
      </c>
      <c r="D704">
        <v>3</v>
      </c>
      <c r="E704" s="27">
        <v>44.16</v>
      </c>
      <c r="F704" s="28">
        <v>0</v>
      </c>
      <c r="G704" s="27">
        <v>132.48</v>
      </c>
      <c r="H704" s="27">
        <v>26.5</v>
      </c>
      <c r="I704" s="27">
        <v>158.98</v>
      </c>
      <c r="J704" s="29" cm="1">
        <f t="array" ref="J704">INDEX(Commandes!$B$2:$B$421,MATCH(B704,Commandes!$A$2:$A$421,0))</f>
        <v>45874</v>
      </c>
    </row>
    <row r="705" spans="1:10">
      <c r="A705" t="s">
        <v>1673</v>
      </c>
      <c r="B705" t="s">
        <v>843</v>
      </c>
      <c r="C705" t="s">
        <v>452</v>
      </c>
      <c r="D705">
        <v>2</v>
      </c>
      <c r="E705" s="27">
        <v>381.57</v>
      </c>
      <c r="F705" s="28">
        <v>0</v>
      </c>
      <c r="G705" s="27">
        <v>763.14</v>
      </c>
      <c r="H705" s="27">
        <v>152.63</v>
      </c>
      <c r="I705" s="27">
        <v>915.77</v>
      </c>
      <c r="J705" s="29" cm="1">
        <f t="array" ref="J705">INDEX(Commandes!$B$2:$B$421,MATCH(B705,Commandes!$A$2:$A$421,0))</f>
        <v>45874</v>
      </c>
    </row>
    <row r="706" spans="1:10">
      <c r="A706" t="s">
        <v>1674</v>
      </c>
      <c r="B706" t="s">
        <v>844</v>
      </c>
      <c r="C706" t="s">
        <v>429</v>
      </c>
      <c r="D706">
        <v>1</v>
      </c>
      <c r="E706" s="27">
        <v>32.75</v>
      </c>
      <c r="F706" s="28">
        <v>0</v>
      </c>
      <c r="G706" s="27">
        <v>32.75</v>
      </c>
      <c r="H706" s="27">
        <v>6.55</v>
      </c>
      <c r="I706" s="27">
        <v>39.3</v>
      </c>
      <c r="J706" s="29" cm="1">
        <f t="array" ref="J706">INDEX(Commandes!$B$2:$B$421,MATCH(B706,Commandes!$A$2:$A$421,0))</f>
        <v>45882</v>
      </c>
    </row>
    <row r="707" spans="1:10">
      <c r="A707" t="s">
        <v>1675</v>
      </c>
      <c r="B707" t="s">
        <v>844</v>
      </c>
      <c r="C707" t="s">
        <v>475</v>
      </c>
      <c r="D707">
        <v>1</v>
      </c>
      <c r="E707" s="27">
        <v>42</v>
      </c>
      <c r="F707" s="28">
        <v>0.15</v>
      </c>
      <c r="G707" s="27">
        <v>35.7</v>
      </c>
      <c r="H707" s="27">
        <v>7.14</v>
      </c>
      <c r="I707" s="27">
        <v>42.84</v>
      </c>
      <c r="J707" s="29" cm="1">
        <f t="array" ref="J707">INDEX(Commandes!$B$2:$B$421,MATCH(B707,Commandes!$A$2:$A$421,0))</f>
        <v>45882</v>
      </c>
    </row>
    <row r="708" spans="1:10">
      <c r="A708" t="s">
        <v>1676</v>
      </c>
      <c r="B708" t="s">
        <v>844</v>
      </c>
      <c r="C708" t="s">
        <v>452</v>
      </c>
      <c r="D708">
        <v>5</v>
      </c>
      <c r="E708" s="27">
        <v>381.57</v>
      </c>
      <c r="F708" s="28">
        <v>0.15</v>
      </c>
      <c r="G708" s="27">
        <v>1621.67</v>
      </c>
      <c r="H708" s="27">
        <v>324.33</v>
      </c>
      <c r="I708" s="27">
        <v>1946</v>
      </c>
      <c r="J708" s="29" cm="1">
        <f t="array" ref="J708">INDEX(Commandes!$B$2:$B$421,MATCH(B708,Commandes!$A$2:$A$421,0))</f>
        <v>45882</v>
      </c>
    </row>
    <row r="709" spans="1:10">
      <c r="A709" t="s">
        <v>1677</v>
      </c>
      <c r="B709" t="s">
        <v>844</v>
      </c>
      <c r="C709" t="s">
        <v>475</v>
      </c>
      <c r="D709">
        <v>2</v>
      </c>
      <c r="E709" s="27">
        <v>42</v>
      </c>
      <c r="F709" s="28">
        <v>0</v>
      </c>
      <c r="G709" s="27">
        <v>84</v>
      </c>
      <c r="H709" s="27">
        <v>16.8</v>
      </c>
      <c r="I709" s="27">
        <v>100.8</v>
      </c>
      <c r="J709" s="29" cm="1">
        <f t="array" ref="J709">INDEX(Commandes!$B$2:$B$421,MATCH(B709,Commandes!$A$2:$A$421,0))</f>
        <v>45882</v>
      </c>
    </row>
    <row r="710" spans="1:10">
      <c r="A710" t="s">
        <v>1678</v>
      </c>
      <c r="B710" t="s">
        <v>845</v>
      </c>
      <c r="C710" t="s">
        <v>402</v>
      </c>
      <c r="D710">
        <v>1</v>
      </c>
      <c r="E710" s="27">
        <v>26.57</v>
      </c>
      <c r="F710" s="28">
        <v>0.15</v>
      </c>
      <c r="G710" s="27">
        <v>22.58</v>
      </c>
      <c r="H710" s="27">
        <v>4.52</v>
      </c>
      <c r="I710" s="27">
        <v>27.1</v>
      </c>
      <c r="J710" s="29" cm="1">
        <f t="array" ref="J710">INDEX(Commandes!$B$2:$B$421,MATCH(B710,Commandes!$A$2:$A$421,0))</f>
        <v>45604</v>
      </c>
    </row>
    <row r="711" spans="1:10">
      <c r="A711" t="s">
        <v>1679</v>
      </c>
      <c r="B711" t="s">
        <v>845</v>
      </c>
      <c r="C711" t="s">
        <v>469</v>
      </c>
      <c r="D711">
        <v>10</v>
      </c>
      <c r="E711" s="27">
        <v>30.71</v>
      </c>
      <c r="F711" s="28">
        <v>0.05</v>
      </c>
      <c r="G711" s="27">
        <v>291.75</v>
      </c>
      <c r="H711" s="27">
        <v>58.35</v>
      </c>
      <c r="I711" s="27">
        <v>350.1</v>
      </c>
      <c r="J711" s="29" cm="1">
        <f t="array" ref="J711">INDEX(Commandes!$B$2:$B$421,MATCH(B711,Commandes!$A$2:$A$421,0))</f>
        <v>45604</v>
      </c>
    </row>
    <row r="712" spans="1:10">
      <c r="A712" t="s">
        <v>1680</v>
      </c>
      <c r="B712" t="s">
        <v>846</v>
      </c>
      <c r="C712" t="s">
        <v>417</v>
      </c>
      <c r="D712">
        <v>1</v>
      </c>
      <c r="E712" s="27">
        <v>59.79</v>
      </c>
      <c r="F712" s="28">
        <v>0.1</v>
      </c>
      <c r="G712" s="27">
        <v>53.81</v>
      </c>
      <c r="H712" s="27">
        <v>10.76</v>
      </c>
      <c r="I712" s="27">
        <v>64.57</v>
      </c>
      <c r="J712" s="29" cm="1">
        <f t="array" ref="J712">INDEX(Commandes!$B$2:$B$421,MATCH(B712,Commandes!$A$2:$A$421,0))</f>
        <v>45901</v>
      </c>
    </row>
    <row r="713" spans="1:10">
      <c r="A713" t="s">
        <v>1681</v>
      </c>
      <c r="B713" t="s">
        <v>847</v>
      </c>
      <c r="C713" t="s">
        <v>435</v>
      </c>
      <c r="D713">
        <v>2</v>
      </c>
      <c r="E713" s="27">
        <v>262.34</v>
      </c>
      <c r="F713" s="28">
        <v>0.05</v>
      </c>
      <c r="G713" s="27">
        <v>498.45</v>
      </c>
      <c r="H713" s="27">
        <v>99.69</v>
      </c>
      <c r="I713" s="27">
        <v>598.14</v>
      </c>
      <c r="J713" s="29" cm="1">
        <f t="array" ref="J713">INDEX(Commandes!$B$2:$B$421,MATCH(B713,Commandes!$A$2:$A$421,0))</f>
        <v>45342</v>
      </c>
    </row>
    <row r="714" spans="1:10">
      <c r="A714" t="s">
        <v>1682</v>
      </c>
      <c r="B714" t="s">
        <v>847</v>
      </c>
      <c r="C714" t="s">
        <v>425</v>
      </c>
      <c r="D714">
        <v>2</v>
      </c>
      <c r="E714" s="27">
        <v>36.08</v>
      </c>
      <c r="F714" s="28">
        <v>0</v>
      </c>
      <c r="G714" s="27">
        <v>72.16</v>
      </c>
      <c r="H714" s="27">
        <v>14.43</v>
      </c>
      <c r="I714" s="27">
        <v>86.59</v>
      </c>
      <c r="J714" s="29" cm="1">
        <f t="array" ref="J714">INDEX(Commandes!$B$2:$B$421,MATCH(B714,Commandes!$A$2:$A$421,0))</f>
        <v>45342</v>
      </c>
    </row>
    <row r="715" spans="1:10">
      <c r="A715" t="s">
        <v>1683</v>
      </c>
      <c r="B715" t="s">
        <v>847</v>
      </c>
      <c r="C715" t="s">
        <v>446</v>
      </c>
      <c r="D715">
        <v>2</v>
      </c>
      <c r="E715" s="27">
        <v>454.43</v>
      </c>
      <c r="F715" s="28">
        <v>0.15</v>
      </c>
      <c r="G715" s="27">
        <v>772.53</v>
      </c>
      <c r="H715" s="27">
        <v>154.51</v>
      </c>
      <c r="I715" s="27">
        <v>927.04</v>
      </c>
      <c r="J715" s="29" cm="1">
        <f t="array" ref="J715">INDEX(Commandes!$B$2:$B$421,MATCH(B715,Commandes!$A$2:$A$421,0))</f>
        <v>45342</v>
      </c>
    </row>
    <row r="716" spans="1:10">
      <c r="A716" t="s">
        <v>1684</v>
      </c>
      <c r="B716" t="s">
        <v>848</v>
      </c>
      <c r="C716" t="s">
        <v>448</v>
      </c>
      <c r="D716">
        <v>1</v>
      </c>
      <c r="E716" s="27">
        <v>543.43</v>
      </c>
      <c r="F716" s="28">
        <v>0.15</v>
      </c>
      <c r="G716" s="27">
        <v>461.92</v>
      </c>
      <c r="H716" s="27">
        <v>92.38</v>
      </c>
      <c r="I716" s="27">
        <v>554.3</v>
      </c>
      <c r="J716" s="29" cm="1">
        <f t="array" ref="J716">INDEX(Commandes!$B$2:$B$421,MATCH(B716,Commandes!$A$2:$A$421,0))</f>
        <v>45828</v>
      </c>
    </row>
    <row r="717" spans="1:10">
      <c r="A717" t="s">
        <v>1685</v>
      </c>
      <c r="B717" t="s">
        <v>848</v>
      </c>
      <c r="C717" t="s">
        <v>427</v>
      </c>
      <c r="D717">
        <v>1</v>
      </c>
      <c r="E717" s="27">
        <v>25.25</v>
      </c>
      <c r="F717" s="28">
        <v>0</v>
      </c>
      <c r="G717" s="27">
        <v>25.25</v>
      </c>
      <c r="H717" s="27">
        <v>5.05</v>
      </c>
      <c r="I717" s="27">
        <v>30.3</v>
      </c>
      <c r="J717" s="29" cm="1">
        <f t="array" ref="J717">INDEX(Commandes!$B$2:$B$421,MATCH(B717,Commandes!$A$2:$A$421,0))</f>
        <v>45828</v>
      </c>
    </row>
    <row r="718" spans="1:10">
      <c r="A718" t="s">
        <v>1686</v>
      </c>
      <c r="B718" t="s">
        <v>848</v>
      </c>
      <c r="C718" t="s">
        <v>398</v>
      </c>
      <c r="D718">
        <v>1</v>
      </c>
      <c r="E718" s="27">
        <v>383.91</v>
      </c>
      <c r="F718" s="28">
        <v>0.1</v>
      </c>
      <c r="G718" s="27">
        <v>345.52</v>
      </c>
      <c r="H718" s="27">
        <v>69.1</v>
      </c>
      <c r="I718" s="27">
        <v>414.62</v>
      </c>
      <c r="J718" s="29" cm="1">
        <f t="array" ref="J718">INDEX(Commandes!$B$2:$B$421,MATCH(B718,Commandes!$A$2:$A$421,0))</f>
        <v>45828</v>
      </c>
    </row>
    <row r="719" spans="1:10">
      <c r="A719" t="s">
        <v>1687</v>
      </c>
      <c r="B719" t="s">
        <v>849</v>
      </c>
      <c r="C719" t="s">
        <v>402</v>
      </c>
      <c r="D719">
        <v>1</v>
      </c>
      <c r="E719" s="27">
        <v>26.57</v>
      </c>
      <c r="F719" s="28">
        <v>0</v>
      </c>
      <c r="G719" s="27">
        <v>26.57</v>
      </c>
      <c r="H719" s="27">
        <v>5.31</v>
      </c>
      <c r="I719" s="27">
        <v>31.88</v>
      </c>
      <c r="J719" s="29" cm="1">
        <f t="array" ref="J719">INDEX(Commandes!$B$2:$B$421,MATCH(B719,Commandes!$A$2:$A$421,0))</f>
        <v>45963</v>
      </c>
    </row>
    <row r="720" spans="1:10">
      <c r="A720" t="s">
        <v>1688</v>
      </c>
      <c r="B720" t="s">
        <v>849</v>
      </c>
      <c r="C720" t="s">
        <v>391</v>
      </c>
      <c r="D720">
        <v>3</v>
      </c>
      <c r="E720" s="27">
        <v>138.13</v>
      </c>
      <c r="F720" s="28">
        <v>0</v>
      </c>
      <c r="G720" s="27">
        <v>414.39</v>
      </c>
      <c r="H720" s="27">
        <v>82.88</v>
      </c>
      <c r="I720" s="27">
        <v>497.27</v>
      </c>
      <c r="J720" s="29" cm="1">
        <f t="array" ref="J720">INDEX(Commandes!$B$2:$B$421,MATCH(B720,Commandes!$A$2:$A$421,0))</f>
        <v>45963</v>
      </c>
    </row>
    <row r="721" spans="1:10">
      <c r="A721" t="s">
        <v>1689</v>
      </c>
      <c r="B721" t="s">
        <v>850</v>
      </c>
      <c r="C721" t="s">
        <v>465</v>
      </c>
      <c r="D721">
        <v>3</v>
      </c>
      <c r="E721" s="27">
        <v>44.16</v>
      </c>
      <c r="F721" s="28">
        <v>0</v>
      </c>
      <c r="G721" s="27">
        <v>132.48</v>
      </c>
      <c r="H721" s="27">
        <v>26.5</v>
      </c>
      <c r="I721" s="27">
        <v>158.98</v>
      </c>
      <c r="J721" s="29" cm="1">
        <f t="array" ref="J721">INDEX(Commandes!$B$2:$B$421,MATCH(B721,Commandes!$A$2:$A$421,0))</f>
        <v>45407</v>
      </c>
    </row>
    <row r="722" spans="1:10">
      <c r="A722" t="s">
        <v>1690</v>
      </c>
      <c r="B722" t="s">
        <v>851</v>
      </c>
      <c r="C722" t="s">
        <v>473</v>
      </c>
      <c r="D722">
        <v>1</v>
      </c>
      <c r="E722" s="27">
        <v>40.73</v>
      </c>
      <c r="F722" s="28">
        <v>0.05</v>
      </c>
      <c r="G722" s="27">
        <v>38.69</v>
      </c>
      <c r="H722" s="27">
        <v>7.74</v>
      </c>
      <c r="I722" s="27">
        <v>46.43</v>
      </c>
      <c r="J722" s="29" cm="1">
        <f t="array" ref="J722">INDEX(Commandes!$B$2:$B$421,MATCH(B722,Commandes!$A$2:$A$421,0))</f>
        <v>45752</v>
      </c>
    </row>
    <row r="723" spans="1:10">
      <c r="A723" t="s">
        <v>1691</v>
      </c>
      <c r="B723" t="s">
        <v>851</v>
      </c>
      <c r="C723" t="s">
        <v>454</v>
      </c>
      <c r="D723">
        <v>3</v>
      </c>
      <c r="E723" s="27">
        <v>375.86</v>
      </c>
      <c r="F723" s="28">
        <v>0</v>
      </c>
      <c r="G723" s="27">
        <v>1127.58</v>
      </c>
      <c r="H723" s="27">
        <v>225.52</v>
      </c>
      <c r="I723" s="27">
        <v>1353.1</v>
      </c>
      <c r="J723" s="29" cm="1">
        <f t="array" ref="J723">INDEX(Commandes!$B$2:$B$421,MATCH(B723,Commandes!$A$2:$A$421,0))</f>
        <v>45752</v>
      </c>
    </row>
    <row r="724" spans="1:10">
      <c r="A724" t="s">
        <v>1692</v>
      </c>
      <c r="B724" t="s">
        <v>852</v>
      </c>
      <c r="C724" t="s">
        <v>410</v>
      </c>
      <c r="D724">
        <v>1</v>
      </c>
      <c r="E724" s="27">
        <v>106.93</v>
      </c>
      <c r="F724" s="28">
        <v>0.15</v>
      </c>
      <c r="G724" s="27">
        <v>90.89</v>
      </c>
      <c r="H724" s="27">
        <v>18.18</v>
      </c>
      <c r="I724" s="27">
        <v>109.07</v>
      </c>
      <c r="J724" s="29" cm="1">
        <f t="array" ref="J724">INDEX(Commandes!$B$2:$B$421,MATCH(B724,Commandes!$A$2:$A$421,0))</f>
        <v>46003</v>
      </c>
    </row>
    <row r="725" spans="1:10">
      <c r="A725" t="s">
        <v>1693</v>
      </c>
      <c r="B725" t="s">
        <v>853</v>
      </c>
      <c r="C725" t="s">
        <v>408</v>
      </c>
      <c r="D725">
        <v>2</v>
      </c>
      <c r="E725" s="27">
        <v>19.65</v>
      </c>
      <c r="F725" s="28">
        <v>0.15</v>
      </c>
      <c r="G725" s="27">
        <v>33.4</v>
      </c>
      <c r="H725" s="27">
        <v>6.68</v>
      </c>
      <c r="I725" s="27">
        <v>40.08</v>
      </c>
      <c r="J725" s="29" cm="1">
        <f t="array" ref="J725">INDEX(Commandes!$B$2:$B$421,MATCH(B725,Commandes!$A$2:$A$421,0))</f>
        <v>45924</v>
      </c>
    </row>
    <row r="726" spans="1:10">
      <c r="A726" t="s">
        <v>1694</v>
      </c>
      <c r="B726" t="s">
        <v>853</v>
      </c>
      <c r="C726" t="s">
        <v>421</v>
      </c>
      <c r="D726">
        <v>4</v>
      </c>
      <c r="E726" s="27">
        <v>78.78</v>
      </c>
      <c r="F726" s="28">
        <v>0</v>
      </c>
      <c r="G726" s="27">
        <v>315.12</v>
      </c>
      <c r="H726" s="27">
        <v>63.02</v>
      </c>
      <c r="I726" s="27">
        <v>378.14</v>
      </c>
      <c r="J726" s="29" cm="1">
        <f t="array" ref="J726">INDEX(Commandes!$B$2:$B$421,MATCH(B726,Commandes!$A$2:$A$421,0))</f>
        <v>45924</v>
      </c>
    </row>
    <row r="727" spans="1:10">
      <c r="A727" t="s">
        <v>1695</v>
      </c>
      <c r="B727" t="s">
        <v>854</v>
      </c>
      <c r="C727" t="s">
        <v>452</v>
      </c>
      <c r="D727">
        <v>2</v>
      </c>
      <c r="E727" s="27">
        <v>381.57</v>
      </c>
      <c r="F727" s="28">
        <v>0</v>
      </c>
      <c r="G727" s="27">
        <v>763.14</v>
      </c>
      <c r="H727" s="27">
        <v>152.63</v>
      </c>
      <c r="I727" s="27">
        <v>915.77</v>
      </c>
      <c r="J727" s="29" cm="1">
        <f t="array" ref="J727">INDEX(Commandes!$B$2:$B$421,MATCH(B727,Commandes!$A$2:$A$421,0))</f>
        <v>45591</v>
      </c>
    </row>
    <row r="728" spans="1:10">
      <c r="A728" t="s">
        <v>1696</v>
      </c>
      <c r="B728" t="s">
        <v>854</v>
      </c>
      <c r="C728" t="s">
        <v>398</v>
      </c>
      <c r="D728">
        <v>2</v>
      </c>
      <c r="E728" s="27">
        <v>383.91</v>
      </c>
      <c r="F728" s="28">
        <v>0.05</v>
      </c>
      <c r="G728" s="27">
        <v>729.43</v>
      </c>
      <c r="H728" s="27">
        <v>145.89</v>
      </c>
      <c r="I728" s="27">
        <v>875.32</v>
      </c>
      <c r="J728" s="29" cm="1">
        <f t="array" ref="J728">INDEX(Commandes!$B$2:$B$421,MATCH(B728,Commandes!$A$2:$A$421,0))</f>
        <v>45591</v>
      </c>
    </row>
    <row r="729" spans="1:10">
      <c r="A729" t="s">
        <v>1697</v>
      </c>
      <c r="B729" t="s">
        <v>855</v>
      </c>
      <c r="C729" t="s">
        <v>471</v>
      </c>
      <c r="D729">
        <v>1</v>
      </c>
      <c r="E729" s="27">
        <v>35.83</v>
      </c>
      <c r="F729" s="28">
        <v>0</v>
      </c>
      <c r="G729" s="27">
        <v>35.83</v>
      </c>
      <c r="H729" s="27">
        <v>7.17</v>
      </c>
      <c r="I729" s="27">
        <v>43</v>
      </c>
      <c r="J729" s="29" cm="1">
        <f t="array" ref="J729">INDEX(Commandes!$B$2:$B$421,MATCH(B729,Commandes!$A$2:$A$421,0))</f>
        <v>45866</v>
      </c>
    </row>
    <row r="730" spans="1:10">
      <c r="A730" t="s">
        <v>1698</v>
      </c>
      <c r="B730" t="s">
        <v>855</v>
      </c>
      <c r="C730" t="s">
        <v>463</v>
      </c>
      <c r="D730">
        <v>1</v>
      </c>
      <c r="E730" s="27">
        <v>73.02</v>
      </c>
      <c r="F730" s="28">
        <v>0.15</v>
      </c>
      <c r="G730" s="27">
        <v>62.07</v>
      </c>
      <c r="H730" s="27">
        <v>12.41</v>
      </c>
      <c r="I730" s="27">
        <v>74.48</v>
      </c>
      <c r="J730" s="29" cm="1">
        <f t="array" ref="J730">INDEX(Commandes!$B$2:$B$421,MATCH(B730,Commandes!$A$2:$A$421,0))</f>
        <v>45866</v>
      </c>
    </row>
    <row r="731" spans="1:10">
      <c r="A731" t="s">
        <v>1699</v>
      </c>
      <c r="B731" t="s">
        <v>856</v>
      </c>
      <c r="C731" t="s">
        <v>370</v>
      </c>
      <c r="D731">
        <v>5</v>
      </c>
      <c r="E731" s="27">
        <v>970.58</v>
      </c>
      <c r="F731" s="28">
        <v>0</v>
      </c>
      <c r="G731" s="27">
        <v>4852.9</v>
      </c>
      <c r="H731" s="27">
        <v>970.58</v>
      </c>
      <c r="I731" s="27">
        <v>5823.48</v>
      </c>
      <c r="J731" s="29" cm="1">
        <f t="array" ref="J731">INDEX(Commandes!$B$2:$B$421,MATCH(B731,Commandes!$A$2:$A$421,0))</f>
        <v>45601</v>
      </c>
    </row>
    <row r="732" spans="1:10">
      <c r="A732" t="s">
        <v>1700</v>
      </c>
      <c r="B732" t="s">
        <v>856</v>
      </c>
      <c r="C732" t="s">
        <v>402</v>
      </c>
      <c r="D732">
        <v>1</v>
      </c>
      <c r="E732" s="27">
        <v>26.57</v>
      </c>
      <c r="F732" s="28">
        <v>0.05</v>
      </c>
      <c r="G732" s="27">
        <v>25.24</v>
      </c>
      <c r="H732" s="27">
        <v>5.05</v>
      </c>
      <c r="I732" s="27">
        <v>30.29</v>
      </c>
      <c r="J732" s="29" cm="1">
        <f t="array" ref="J732">INDEX(Commandes!$B$2:$B$421,MATCH(B732,Commandes!$A$2:$A$421,0))</f>
        <v>45601</v>
      </c>
    </row>
    <row r="733" spans="1:10">
      <c r="A733" t="s">
        <v>1701</v>
      </c>
      <c r="B733" t="s">
        <v>856</v>
      </c>
      <c r="C733" t="s">
        <v>461</v>
      </c>
      <c r="D733">
        <v>1</v>
      </c>
      <c r="E733" s="27">
        <v>59.83</v>
      </c>
      <c r="F733" s="28">
        <v>0.15</v>
      </c>
      <c r="G733" s="27">
        <v>50.86</v>
      </c>
      <c r="H733" s="27">
        <v>10.17</v>
      </c>
      <c r="I733" s="27">
        <v>61.03</v>
      </c>
      <c r="J733" s="29" cm="1">
        <f t="array" ref="J733">INDEX(Commandes!$B$2:$B$421,MATCH(B733,Commandes!$A$2:$A$421,0))</f>
        <v>45601</v>
      </c>
    </row>
    <row r="734" spans="1:10">
      <c r="A734" t="s">
        <v>1702</v>
      </c>
      <c r="B734" t="s">
        <v>856</v>
      </c>
      <c r="C734" t="s">
        <v>423</v>
      </c>
      <c r="D734">
        <v>2</v>
      </c>
      <c r="E734" s="27">
        <v>46.02</v>
      </c>
      <c r="F734" s="28">
        <v>0.15</v>
      </c>
      <c r="G734" s="27">
        <v>78.23</v>
      </c>
      <c r="H734" s="27">
        <v>15.65</v>
      </c>
      <c r="I734" s="27">
        <v>93.88</v>
      </c>
      <c r="J734" s="29" cm="1">
        <f t="array" ref="J734">INDEX(Commandes!$B$2:$B$421,MATCH(B734,Commandes!$A$2:$A$421,0))</f>
        <v>45601</v>
      </c>
    </row>
    <row r="735" spans="1:10">
      <c r="A735" t="s">
        <v>1703</v>
      </c>
      <c r="B735" t="s">
        <v>857</v>
      </c>
      <c r="C735" t="s">
        <v>452</v>
      </c>
      <c r="D735">
        <v>1</v>
      </c>
      <c r="E735" s="27">
        <v>381.57</v>
      </c>
      <c r="F735" s="28">
        <v>0.1</v>
      </c>
      <c r="G735" s="27">
        <v>343.41</v>
      </c>
      <c r="H735" s="27">
        <v>68.68</v>
      </c>
      <c r="I735" s="27">
        <v>412.09</v>
      </c>
      <c r="J735" s="29" cm="1">
        <f t="array" ref="J735">INDEX(Commandes!$B$2:$B$421,MATCH(B735,Commandes!$A$2:$A$421,0))</f>
        <v>45919</v>
      </c>
    </row>
    <row r="736" spans="1:10">
      <c r="A736" t="s">
        <v>1704</v>
      </c>
      <c r="B736" t="s">
        <v>857</v>
      </c>
      <c r="C736" t="s">
        <v>389</v>
      </c>
      <c r="D736">
        <v>1</v>
      </c>
      <c r="E736" s="27">
        <v>120.37</v>
      </c>
      <c r="F736" s="28">
        <v>0</v>
      </c>
      <c r="G736" s="27">
        <v>120.37</v>
      </c>
      <c r="H736" s="27">
        <v>24.07</v>
      </c>
      <c r="I736" s="27">
        <v>144.44</v>
      </c>
      <c r="J736" s="29" cm="1">
        <f t="array" ref="J736">INDEX(Commandes!$B$2:$B$421,MATCH(B736,Commandes!$A$2:$A$421,0))</f>
        <v>45919</v>
      </c>
    </row>
    <row r="737" spans="1:10">
      <c r="A737" t="s">
        <v>1705</v>
      </c>
      <c r="B737" t="s">
        <v>857</v>
      </c>
      <c r="C737" t="s">
        <v>450</v>
      </c>
      <c r="D737">
        <v>2</v>
      </c>
      <c r="E737" s="27">
        <v>538.29</v>
      </c>
      <c r="F737" s="28">
        <v>0</v>
      </c>
      <c r="G737" s="27">
        <v>1076.58</v>
      </c>
      <c r="H737" s="27">
        <v>215.32</v>
      </c>
      <c r="I737" s="27">
        <v>1291.9</v>
      </c>
      <c r="J737" s="29" cm="1">
        <f t="array" ref="J737">INDEX(Commandes!$B$2:$B$421,MATCH(B737,Commandes!$A$2:$A$421,0))</f>
        <v>45919</v>
      </c>
    </row>
    <row r="738" spans="1:10">
      <c r="A738" t="s">
        <v>1706</v>
      </c>
      <c r="B738" t="s">
        <v>857</v>
      </c>
      <c r="C738" t="s">
        <v>389</v>
      </c>
      <c r="D738">
        <v>1</v>
      </c>
      <c r="E738" s="27">
        <v>120.37</v>
      </c>
      <c r="F738" s="28">
        <v>0.15</v>
      </c>
      <c r="G738" s="27">
        <v>102.31</v>
      </c>
      <c r="H738" s="27">
        <v>20.46</v>
      </c>
      <c r="I738" s="27">
        <v>122.77</v>
      </c>
      <c r="J738" s="29" cm="1">
        <f t="array" ref="J738">INDEX(Commandes!$B$2:$B$421,MATCH(B738,Commandes!$A$2:$A$421,0))</f>
        <v>45919</v>
      </c>
    </row>
    <row r="739" spans="1:10">
      <c r="A739" t="s">
        <v>1707</v>
      </c>
      <c r="B739" t="s">
        <v>857</v>
      </c>
      <c r="C739" t="s">
        <v>442</v>
      </c>
      <c r="D739">
        <v>4</v>
      </c>
      <c r="E739" s="27">
        <v>374.59</v>
      </c>
      <c r="F739" s="28">
        <v>0.05</v>
      </c>
      <c r="G739" s="27">
        <v>1423.44</v>
      </c>
      <c r="H739" s="27">
        <v>284.69</v>
      </c>
      <c r="I739" s="27">
        <v>1708.13</v>
      </c>
      <c r="J739" s="29" cm="1">
        <f t="array" ref="J739">INDEX(Commandes!$B$2:$B$421,MATCH(B739,Commandes!$A$2:$A$421,0))</f>
        <v>45919</v>
      </c>
    </row>
    <row r="740" spans="1:10">
      <c r="A740" t="s">
        <v>1708</v>
      </c>
      <c r="B740" t="s">
        <v>858</v>
      </c>
      <c r="C740" t="s">
        <v>391</v>
      </c>
      <c r="D740">
        <v>3</v>
      </c>
      <c r="E740" s="27">
        <v>138.13</v>
      </c>
      <c r="F740" s="28">
        <v>0</v>
      </c>
      <c r="G740" s="27">
        <v>414.39</v>
      </c>
      <c r="H740" s="27">
        <v>82.88</v>
      </c>
      <c r="I740" s="27">
        <v>497.27</v>
      </c>
      <c r="J740" s="29" cm="1">
        <f t="array" ref="J740">INDEX(Commandes!$B$2:$B$421,MATCH(B740,Commandes!$A$2:$A$421,0))</f>
        <v>45440</v>
      </c>
    </row>
    <row r="741" spans="1:10">
      <c r="A741" t="s">
        <v>1709</v>
      </c>
      <c r="B741" t="s">
        <v>858</v>
      </c>
      <c r="C741" t="s">
        <v>427</v>
      </c>
      <c r="D741">
        <v>8</v>
      </c>
      <c r="E741" s="27">
        <v>25.25</v>
      </c>
      <c r="F741" s="28">
        <v>0</v>
      </c>
      <c r="G741" s="27">
        <v>202</v>
      </c>
      <c r="H741" s="27">
        <v>40.4</v>
      </c>
      <c r="I741" s="27">
        <v>242.4</v>
      </c>
      <c r="J741" s="29" cm="1">
        <f t="array" ref="J741">INDEX(Commandes!$B$2:$B$421,MATCH(B741,Commandes!$A$2:$A$421,0))</f>
        <v>45440</v>
      </c>
    </row>
    <row r="742" spans="1:10">
      <c r="A742" t="s">
        <v>1710</v>
      </c>
      <c r="B742" t="s">
        <v>859</v>
      </c>
      <c r="C742" t="s">
        <v>473</v>
      </c>
      <c r="D742">
        <v>10</v>
      </c>
      <c r="E742" s="27">
        <v>40.73</v>
      </c>
      <c r="F742" s="28">
        <v>0.1</v>
      </c>
      <c r="G742" s="27">
        <v>366.57</v>
      </c>
      <c r="H742" s="27">
        <v>73.31</v>
      </c>
      <c r="I742" s="27">
        <v>439.88</v>
      </c>
      <c r="J742" s="29" cm="1">
        <f t="array" ref="J742">INDEX(Commandes!$B$2:$B$421,MATCH(B742,Commandes!$A$2:$A$421,0))</f>
        <v>45745</v>
      </c>
    </row>
    <row r="743" spans="1:10">
      <c r="A743" t="s">
        <v>1711</v>
      </c>
      <c r="B743" t="s">
        <v>860</v>
      </c>
      <c r="C743" t="s">
        <v>465</v>
      </c>
      <c r="D743">
        <v>3</v>
      </c>
      <c r="E743" s="27">
        <v>44.16</v>
      </c>
      <c r="F743" s="28">
        <v>0</v>
      </c>
      <c r="G743" s="27">
        <v>132.48</v>
      </c>
      <c r="H743" s="27">
        <v>26.5</v>
      </c>
      <c r="I743" s="27">
        <v>158.98</v>
      </c>
      <c r="J743" s="29" cm="1">
        <f t="array" ref="J743">INDEX(Commandes!$B$2:$B$421,MATCH(B743,Commandes!$A$2:$A$421,0))</f>
        <v>45565</v>
      </c>
    </row>
    <row r="744" spans="1:10">
      <c r="A744" t="s">
        <v>1712</v>
      </c>
      <c r="B744" t="s">
        <v>860</v>
      </c>
      <c r="C744" t="s">
        <v>440</v>
      </c>
      <c r="D744">
        <v>3</v>
      </c>
      <c r="E744" s="27">
        <v>391.34</v>
      </c>
      <c r="F744" s="28">
        <v>0.05</v>
      </c>
      <c r="G744" s="27">
        <v>1115.32</v>
      </c>
      <c r="H744" s="27">
        <v>223.06</v>
      </c>
      <c r="I744" s="27">
        <v>1338.38</v>
      </c>
      <c r="J744" s="29" cm="1">
        <f t="array" ref="J744">INDEX(Commandes!$B$2:$B$421,MATCH(B744,Commandes!$A$2:$A$421,0))</f>
        <v>45565</v>
      </c>
    </row>
    <row r="745" spans="1:10">
      <c r="A745" t="s">
        <v>1713</v>
      </c>
      <c r="B745" t="s">
        <v>861</v>
      </c>
      <c r="C745" t="s">
        <v>398</v>
      </c>
      <c r="D745">
        <v>1</v>
      </c>
      <c r="E745" s="27">
        <v>383.91</v>
      </c>
      <c r="F745" s="28">
        <v>0.05</v>
      </c>
      <c r="G745" s="27">
        <v>364.71</v>
      </c>
      <c r="H745" s="27">
        <v>72.94</v>
      </c>
      <c r="I745" s="27">
        <v>437.65</v>
      </c>
      <c r="J745" s="29" cm="1">
        <f t="array" ref="J745">INDEX(Commandes!$B$2:$B$421,MATCH(B745,Commandes!$A$2:$A$421,0))</f>
        <v>46021</v>
      </c>
    </row>
    <row r="746" spans="1:10">
      <c r="A746" t="s">
        <v>1714</v>
      </c>
      <c r="B746" t="s">
        <v>862</v>
      </c>
      <c r="C746" t="s">
        <v>431</v>
      </c>
      <c r="D746">
        <v>4</v>
      </c>
      <c r="E746" s="27">
        <v>47.74</v>
      </c>
      <c r="F746" s="28">
        <v>0.05</v>
      </c>
      <c r="G746" s="27">
        <v>181.41</v>
      </c>
      <c r="H746" s="27">
        <v>36.28</v>
      </c>
      <c r="I746" s="27">
        <v>217.69</v>
      </c>
      <c r="J746" s="29" cm="1">
        <f t="array" ref="J746">INDEX(Commandes!$B$2:$B$421,MATCH(B746,Commandes!$A$2:$A$421,0))</f>
        <v>45307</v>
      </c>
    </row>
    <row r="747" spans="1:10">
      <c r="A747" t="s">
        <v>1715</v>
      </c>
      <c r="B747" t="s">
        <v>863</v>
      </c>
      <c r="C747" t="s">
        <v>425</v>
      </c>
      <c r="D747">
        <v>2</v>
      </c>
      <c r="E747" s="27">
        <v>36.08</v>
      </c>
      <c r="F747" s="28">
        <v>0.15</v>
      </c>
      <c r="G747" s="27">
        <v>61.34</v>
      </c>
      <c r="H747" s="27">
        <v>12.27</v>
      </c>
      <c r="I747" s="27">
        <v>73.61</v>
      </c>
      <c r="J747" s="29" cm="1">
        <f t="array" ref="J747">INDEX(Commandes!$B$2:$B$421,MATCH(B747,Commandes!$A$2:$A$421,0))</f>
        <v>45996</v>
      </c>
    </row>
    <row r="748" spans="1:10">
      <c r="A748" t="s">
        <v>1716</v>
      </c>
      <c r="B748" t="s">
        <v>863</v>
      </c>
      <c r="C748" t="s">
        <v>448</v>
      </c>
      <c r="D748">
        <v>2</v>
      </c>
      <c r="E748" s="27">
        <v>543.43</v>
      </c>
      <c r="F748" s="28">
        <v>0.1</v>
      </c>
      <c r="G748" s="27">
        <v>978.17</v>
      </c>
      <c r="H748" s="27">
        <v>195.63</v>
      </c>
      <c r="I748" s="27">
        <v>1173.8</v>
      </c>
      <c r="J748" s="29" cm="1">
        <f t="array" ref="J748">INDEX(Commandes!$B$2:$B$421,MATCH(B748,Commandes!$A$2:$A$421,0))</f>
        <v>45996</v>
      </c>
    </row>
    <row r="749" spans="1:10">
      <c r="A749" t="s">
        <v>1717</v>
      </c>
      <c r="B749" t="s">
        <v>863</v>
      </c>
      <c r="C749" t="s">
        <v>459</v>
      </c>
      <c r="D749">
        <v>4</v>
      </c>
      <c r="E749" s="27">
        <v>70.8</v>
      </c>
      <c r="F749" s="28">
        <v>0</v>
      </c>
      <c r="G749" s="27">
        <v>283.2</v>
      </c>
      <c r="H749" s="27">
        <v>56.64</v>
      </c>
      <c r="I749" s="27">
        <v>339.84</v>
      </c>
      <c r="J749" s="29" cm="1">
        <f t="array" ref="J749">INDEX(Commandes!$B$2:$B$421,MATCH(B749,Commandes!$A$2:$A$421,0))</f>
        <v>45996</v>
      </c>
    </row>
    <row r="750" spans="1:10">
      <c r="A750" t="s">
        <v>1718</v>
      </c>
      <c r="B750" t="s">
        <v>864</v>
      </c>
      <c r="C750" t="s">
        <v>425</v>
      </c>
      <c r="D750">
        <v>10</v>
      </c>
      <c r="E750" s="27">
        <v>36.08</v>
      </c>
      <c r="F750" s="28">
        <v>0</v>
      </c>
      <c r="G750" s="27">
        <v>360.8</v>
      </c>
      <c r="H750" s="27">
        <v>72.16</v>
      </c>
      <c r="I750" s="27">
        <v>432.96</v>
      </c>
      <c r="J750" s="29" cm="1">
        <f t="array" ref="J750">INDEX(Commandes!$B$2:$B$421,MATCH(B750,Commandes!$A$2:$A$421,0))</f>
        <v>45825</v>
      </c>
    </row>
    <row r="751" spans="1:10">
      <c r="A751" t="s">
        <v>1719</v>
      </c>
      <c r="B751" t="s">
        <v>864</v>
      </c>
      <c r="C751" t="s">
        <v>446</v>
      </c>
      <c r="D751">
        <v>1</v>
      </c>
      <c r="E751" s="27">
        <v>454.43</v>
      </c>
      <c r="F751" s="28">
        <v>0.15</v>
      </c>
      <c r="G751" s="27">
        <v>386.27</v>
      </c>
      <c r="H751" s="27">
        <v>77.25</v>
      </c>
      <c r="I751" s="27">
        <v>463.52</v>
      </c>
      <c r="J751" s="29" cm="1">
        <f t="array" ref="J751">INDEX(Commandes!$B$2:$B$421,MATCH(B751,Commandes!$A$2:$A$421,0))</f>
        <v>45825</v>
      </c>
    </row>
    <row r="752" spans="1:10">
      <c r="A752" t="s">
        <v>1720</v>
      </c>
      <c r="B752" t="s">
        <v>865</v>
      </c>
      <c r="C752" t="s">
        <v>429</v>
      </c>
      <c r="D752">
        <v>1</v>
      </c>
      <c r="E752" s="27">
        <v>32.75</v>
      </c>
      <c r="F752" s="28">
        <v>0</v>
      </c>
      <c r="G752" s="27">
        <v>32.75</v>
      </c>
      <c r="H752" s="27">
        <v>6.55</v>
      </c>
      <c r="I752" s="27">
        <v>39.3</v>
      </c>
      <c r="J752" s="29" cm="1">
        <f t="array" ref="J752">INDEX(Commandes!$B$2:$B$421,MATCH(B752,Commandes!$A$2:$A$421,0))</f>
        <v>45342</v>
      </c>
    </row>
    <row r="753" spans="1:10">
      <c r="A753" t="s">
        <v>1721</v>
      </c>
      <c r="B753" t="s">
        <v>865</v>
      </c>
      <c r="C753" t="s">
        <v>465</v>
      </c>
      <c r="D753">
        <v>2</v>
      </c>
      <c r="E753" s="27">
        <v>44.16</v>
      </c>
      <c r="F753" s="28">
        <v>0</v>
      </c>
      <c r="G753" s="27">
        <v>88.32</v>
      </c>
      <c r="H753" s="27">
        <v>17.66</v>
      </c>
      <c r="I753" s="27">
        <v>105.98</v>
      </c>
      <c r="J753" s="29" cm="1">
        <f t="array" ref="J753">INDEX(Commandes!$B$2:$B$421,MATCH(B753,Commandes!$A$2:$A$421,0))</f>
        <v>45342</v>
      </c>
    </row>
    <row r="754" spans="1:10">
      <c r="A754" t="s">
        <v>1722</v>
      </c>
      <c r="B754" t="s">
        <v>866</v>
      </c>
      <c r="C754" t="s">
        <v>465</v>
      </c>
      <c r="D754">
        <v>2</v>
      </c>
      <c r="E754" s="27">
        <v>44.16</v>
      </c>
      <c r="F754" s="28">
        <v>0.05</v>
      </c>
      <c r="G754" s="27">
        <v>83.9</v>
      </c>
      <c r="H754" s="27">
        <v>16.78</v>
      </c>
      <c r="I754" s="27">
        <v>100.68</v>
      </c>
      <c r="J754" s="29" cm="1">
        <f t="array" ref="J754">INDEX(Commandes!$B$2:$B$421,MATCH(B754,Commandes!$A$2:$A$421,0))</f>
        <v>45766</v>
      </c>
    </row>
    <row r="755" spans="1:10">
      <c r="A755" t="s">
        <v>1723</v>
      </c>
      <c r="B755" t="s">
        <v>866</v>
      </c>
      <c r="C755" t="s">
        <v>427</v>
      </c>
      <c r="D755">
        <v>1</v>
      </c>
      <c r="E755" s="27">
        <v>25.25</v>
      </c>
      <c r="F755" s="28">
        <v>0</v>
      </c>
      <c r="G755" s="27">
        <v>25.25</v>
      </c>
      <c r="H755" s="27">
        <v>5.05</v>
      </c>
      <c r="I755" s="27">
        <v>30.3</v>
      </c>
      <c r="J755" s="29" cm="1">
        <f t="array" ref="J755">INDEX(Commandes!$B$2:$B$421,MATCH(B755,Commandes!$A$2:$A$421,0))</f>
        <v>45766</v>
      </c>
    </row>
    <row r="756" spans="1:10">
      <c r="A756" t="s">
        <v>1724</v>
      </c>
      <c r="B756" t="s">
        <v>866</v>
      </c>
      <c r="C756" t="s">
        <v>396</v>
      </c>
      <c r="D756">
        <v>2</v>
      </c>
      <c r="E756" s="27">
        <v>225.64</v>
      </c>
      <c r="F756" s="28">
        <v>0.15</v>
      </c>
      <c r="G756" s="27">
        <v>383.59</v>
      </c>
      <c r="H756" s="27">
        <v>76.72</v>
      </c>
      <c r="I756" s="27">
        <v>460.31</v>
      </c>
      <c r="J756" s="29" cm="1">
        <f t="array" ref="J756">INDEX(Commandes!$B$2:$B$421,MATCH(B756,Commandes!$A$2:$A$421,0))</f>
        <v>45766</v>
      </c>
    </row>
    <row r="757" spans="1:10">
      <c r="A757" t="s">
        <v>1725</v>
      </c>
      <c r="B757" t="s">
        <v>867</v>
      </c>
      <c r="C757" t="s">
        <v>467</v>
      </c>
      <c r="D757">
        <v>1</v>
      </c>
      <c r="E757" s="27">
        <v>49.53</v>
      </c>
      <c r="F757" s="28">
        <v>0</v>
      </c>
      <c r="G757" s="27">
        <v>49.53</v>
      </c>
      <c r="H757" s="27">
        <v>9.91</v>
      </c>
      <c r="I757" s="27">
        <v>59.44</v>
      </c>
      <c r="J757" s="29" cm="1">
        <f t="array" ref="J757">INDEX(Commandes!$B$2:$B$421,MATCH(B757,Commandes!$A$2:$A$421,0))</f>
        <v>45498</v>
      </c>
    </row>
    <row r="758" spans="1:10">
      <c r="A758" t="s">
        <v>1726</v>
      </c>
      <c r="B758" t="s">
        <v>868</v>
      </c>
      <c r="C758" t="s">
        <v>417</v>
      </c>
      <c r="D758">
        <v>2</v>
      </c>
      <c r="E758" s="27">
        <v>59.79</v>
      </c>
      <c r="F758" s="28">
        <v>0.15</v>
      </c>
      <c r="G758" s="27">
        <v>101.64</v>
      </c>
      <c r="H758" s="27">
        <v>20.33</v>
      </c>
      <c r="I758" s="27">
        <v>121.97</v>
      </c>
      <c r="J758" s="29" cm="1">
        <f t="array" ref="J758">INDEX(Commandes!$B$2:$B$421,MATCH(B758,Commandes!$A$2:$A$421,0))</f>
        <v>45379</v>
      </c>
    </row>
    <row r="759" spans="1:10">
      <c r="A759" t="s">
        <v>1727</v>
      </c>
      <c r="B759" t="s">
        <v>868</v>
      </c>
      <c r="C759" t="s">
        <v>391</v>
      </c>
      <c r="D759">
        <v>1</v>
      </c>
      <c r="E759" s="27">
        <v>138.13</v>
      </c>
      <c r="F759" s="28">
        <v>0</v>
      </c>
      <c r="G759" s="27">
        <v>138.13</v>
      </c>
      <c r="H759" s="27">
        <v>27.63</v>
      </c>
      <c r="I759" s="27">
        <v>165.76</v>
      </c>
      <c r="J759" s="29" cm="1">
        <f t="array" ref="J759">INDEX(Commandes!$B$2:$B$421,MATCH(B759,Commandes!$A$2:$A$421,0))</f>
        <v>45379</v>
      </c>
    </row>
    <row r="760" spans="1:10">
      <c r="A760" t="s">
        <v>1728</v>
      </c>
      <c r="B760" t="s">
        <v>868</v>
      </c>
      <c r="C760" t="s">
        <v>396</v>
      </c>
      <c r="D760">
        <v>3</v>
      </c>
      <c r="E760" s="27">
        <v>225.64</v>
      </c>
      <c r="F760" s="28">
        <v>0</v>
      </c>
      <c r="G760" s="27">
        <v>676.92</v>
      </c>
      <c r="H760" s="27">
        <v>135.38</v>
      </c>
      <c r="I760" s="27">
        <v>812.3</v>
      </c>
      <c r="J760" s="29" cm="1">
        <f t="array" ref="J760">INDEX(Commandes!$B$2:$B$421,MATCH(B760,Commandes!$A$2:$A$421,0))</f>
        <v>45379</v>
      </c>
    </row>
    <row r="761" spans="1:10">
      <c r="A761" t="s">
        <v>1729</v>
      </c>
      <c r="B761" t="s">
        <v>869</v>
      </c>
      <c r="C761" t="s">
        <v>398</v>
      </c>
      <c r="D761">
        <v>1</v>
      </c>
      <c r="E761" s="27">
        <v>383.91</v>
      </c>
      <c r="F761" s="28">
        <v>0</v>
      </c>
      <c r="G761" s="27">
        <v>383.91</v>
      </c>
      <c r="H761" s="27">
        <v>76.78</v>
      </c>
      <c r="I761" s="27">
        <v>460.69</v>
      </c>
      <c r="J761" s="29" cm="1">
        <f t="array" ref="J761">INDEX(Commandes!$B$2:$B$421,MATCH(B761,Commandes!$A$2:$A$421,0))</f>
        <v>45721</v>
      </c>
    </row>
    <row r="762" spans="1:10">
      <c r="A762" t="s">
        <v>1730</v>
      </c>
      <c r="B762" t="s">
        <v>869</v>
      </c>
      <c r="C762" t="s">
        <v>366</v>
      </c>
      <c r="D762">
        <v>2</v>
      </c>
      <c r="E762" s="27">
        <v>1103.64</v>
      </c>
      <c r="F762" s="28">
        <v>0.05</v>
      </c>
      <c r="G762" s="27">
        <v>2096.92</v>
      </c>
      <c r="H762" s="27">
        <v>419.38</v>
      </c>
      <c r="I762" s="27">
        <v>2516.3</v>
      </c>
      <c r="J762" s="29" cm="1">
        <f t="array" ref="J762">INDEX(Commandes!$B$2:$B$421,MATCH(B762,Commandes!$A$2:$A$421,0))</f>
        <v>45721</v>
      </c>
    </row>
    <row r="763" spans="1:10">
      <c r="A763" t="s">
        <v>1731</v>
      </c>
      <c r="B763" t="s">
        <v>869</v>
      </c>
      <c r="C763" t="s">
        <v>444</v>
      </c>
      <c r="D763">
        <v>3</v>
      </c>
      <c r="E763" s="27">
        <v>442.3</v>
      </c>
      <c r="F763" s="28">
        <v>0.1</v>
      </c>
      <c r="G763" s="27">
        <v>1194.21</v>
      </c>
      <c r="H763" s="27">
        <v>238.84</v>
      </c>
      <c r="I763" s="27">
        <v>1433.05</v>
      </c>
      <c r="J763" s="29" cm="1">
        <f t="array" ref="J763">INDEX(Commandes!$B$2:$B$421,MATCH(B763,Commandes!$A$2:$A$421,0))</f>
        <v>45721</v>
      </c>
    </row>
    <row r="764" spans="1:10">
      <c r="A764" t="s">
        <v>1732</v>
      </c>
      <c r="B764" t="s">
        <v>869</v>
      </c>
      <c r="C764" t="s">
        <v>438</v>
      </c>
      <c r="D764">
        <v>1</v>
      </c>
      <c r="E764" s="27">
        <v>295.97</v>
      </c>
      <c r="F764" s="28">
        <v>0.1</v>
      </c>
      <c r="G764" s="27">
        <v>266.37</v>
      </c>
      <c r="H764" s="27">
        <v>53.27</v>
      </c>
      <c r="I764" s="27">
        <v>319.64</v>
      </c>
      <c r="J764" s="29" cm="1">
        <f t="array" ref="J764">INDEX(Commandes!$B$2:$B$421,MATCH(B764,Commandes!$A$2:$A$421,0))</f>
        <v>45721</v>
      </c>
    </row>
    <row r="765" spans="1:10">
      <c r="A765" t="s">
        <v>1733</v>
      </c>
      <c r="B765" t="s">
        <v>870</v>
      </c>
      <c r="C765" t="s">
        <v>408</v>
      </c>
      <c r="D765">
        <v>2</v>
      </c>
      <c r="E765" s="27">
        <v>19.65</v>
      </c>
      <c r="F765" s="28">
        <v>0.1</v>
      </c>
      <c r="G765" s="27">
        <v>35.37</v>
      </c>
      <c r="H765" s="27">
        <v>7.07</v>
      </c>
      <c r="I765" s="27">
        <v>42.44</v>
      </c>
      <c r="J765" s="29" cm="1">
        <f t="array" ref="J765">INDEX(Commandes!$B$2:$B$421,MATCH(B765,Commandes!$A$2:$A$421,0))</f>
        <v>45967</v>
      </c>
    </row>
    <row r="766" spans="1:10">
      <c r="A766" t="s">
        <v>1734</v>
      </c>
      <c r="B766" t="s">
        <v>870</v>
      </c>
      <c r="C766" t="s">
        <v>400</v>
      </c>
      <c r="D766">
        <v>1</v>
      </c>
      <c r="E766" s="27">
        <v>328.03</v>
      </c>
      <c r="F766" s="28">
        <v>0</v>
      </c>
      <c r="G766" s="27">
        <v>328.03</v>
      </c>
      <c r="H766" s="27">
        <v>65.61</v>
      </c>
      <c r="I766" s="27">
        <v>393.64</v>
      </c>
      <c r="J766" s="29" cm="1">
        <f t="array" ref="J766">INDEX(Commandes!$B$2:$B$421,MATCH(B766,Commandes!$A$2:$A$421,0))</f>
        <v>45967</v>
      </c>
    </row>
    <row r="767" spans="1:10">
      <c r="A767" t="s">
        <v>1735</v>
      </c>
      <c r="B767" t="s">
        <v>870</v>
      </c>
      <c r="C767" t="s">
        <v>374</v>
      </c>
      <c r="D767">
        <v>2</v>
      </c>
      <c r="E767" s="27">
        <v>251.56</v>
      </c>
      <c r="F767" s="28">
        <v>0</v>
      </c>
      <c r="G767" s="27">
        <v>503.12</v>
      </c>
      <c r="H767" s="27">
        <v>100.62</v>
      </c>
      <c r="I767" s="27">
        <v>603.74</v>
      </c>
      <c r="J767" s="29" cm="1">
        <f t="array" ref="J767">INDEX(Commandes!$B$2:$B$421,MATCH(B767,Commandes!$A$2:$A$421,0))</f>
        <v>45967</v>
      </c>
    </row>
    <row r="768" spans="1:10">
      <c r="A768" t="s">
        <v>1736</v>
      </c>
      <c r="B768" t="s">
        <v>870</v>
      </c>
      <c r="C768" t="s">
        <v>391</v>
      </c>
      <c r="D768">
        <v>4</v>
      </c>
      <c r="E768" s="27">
        <v>138.13</v>
      </c>
      <c r="F768" s="28">
        <v>0.15</v>
      </c>
      <c r="G768" s="27">
        <v>469.64</v>
      </c>
      <c r="H768" s="27">
        <v>93.93</v>
      </c>
      <c r="I768" s="27">
        <v>563.57</v>
      </c>
      <c r="J768" s="29" cm="1">
        <f t="array" ref="J768">INDEX(Commandes!$B$2:$B$421,MATCH(B768,Commandes!$A$2:$A$421,0))</f>
        <v>45967</v>
      </c>
    </row>
    <row r="769" spans="1:10">
      <c r="A769" t="s">
        <v>1737</v>
      </c>
      <c r="B769" t="s">
        <v>871</v>
      </c>
      <c r="C769" t="s">
        <v>396</v>
      </c>
      <c r="D769">
        <v>1</v>
      </c>
      <c r="E769" s="27">
        <v>225.64</v>
      </c>
      <c r="F769" s="28">
        <v>0</v>
      </c>
      <c r="G769" s="27">
        <v>225.64</v>
      </c>
      <c r="H769" s="27">
        <v>45.13</v>
      </c>
      <c r="I769" s="27">
        <v>270.77</v>
      </c>
      <c r="J769" s="29" cm="1">
        <f t="array" ref="J769">INDEX(Commandes!$B$2:$B$421,MATCH(B769,Commandes!$A$2:$A$421,0))</f>
        <v>45883</v>
      </c>
    </row>
    <row r="770" spans="1:10">
      <c r="A770" t="s">
        <v>1738</v>
      </c>
      <c r="B770" t="s">
        <v>872</v>
      </c>
      <c r="C770" t="s">
        <v>412</v>
      </c>
      <c r="D770">
        <v>1</v>
      </c>
      <c r="E770" s="27">
        <v>114.1</v>
      </c>
      <c r="F770" s="28">
        <v>0.05</v>
      </c>
      <c r="G770" s="27">
        <v>108.39</v>
      </c>
      <c r="H770" s="27">
        <v>21.68</v>
      </c>
      <c r="I770" s="27">
        <v>130.07</v>
      </c>
      <c r="J770" s="29" cm="1">
        <f t="array" ref="J770">INDEX(Commandes!$B$2:$B$421,MATCH(B770,Commandes!$A$2:$A$421,0))</f>
        <v>45917</v>
      </c>
    </row>
    <row r="771" spans="1:10">
      <c r="A771" t="s">
        <v>1739</v>
      </c>
      <c r="B771" t="s">
        <v>873</v>
      </c>
      <c r="C771" t="s">
        <v>408</v>
      </c>
      <c r="D771">
        <v>1</v>
      </c>
      <c r="E771" s="27">
        <v>19.65</v>
      </c>
      <c r="F771" s="28">
        <v>0.05</v>
      </c>
      <c r="G771" s="27">
        <v>18.67</v>
      </c>
      <c r="H771" s="27">
        <v>3.73</v>
      </c>
      <c r="I771" s="27">
        <v>22.4</v>
      </c>
      <c r="J771" s="29" cm="1">
        <f t="array" ref="J771">INDEX(Commandes!$B$2:$B$421,MATCH(B771,Commandes!$A$2:$A$421,0))</f>
        <v>45361</v>
      </c>
    </row>
    <row r="772" spans="1:10">
      <c r="A772" t="s">
        <v>1740</v>
      </c>
      <c r="B772" t="s">
        <v>873</v>
      </c>
      <c r="C772" t="s">
        <v>442</v>
      </c>
      <c r="D772">
        <v>1</v>
      </c>
      <c r="E772" s="27">
        <v>374.59</v>
      </c>
      <c r="F772" s="28">
        <v>0</v>
      </c>
      <c r="G772" s="27">
        <v>374.59</v>
      </c>
      <c r="H772" s="27">
        <v>74.92</v>
      </c>
      <c r="I772" s="27">
        <v>449.51</v>
      </c>
      <c r="J772" s="29" cm="1">
        <f t="array" ref="J772">INDEX(Commandes!$B$2:$B$421,MATCH(B772,Commandes!$A$2:$A$421,0))</f>
        <v>45361</v>
      </c>
    </row>
    <row r="773" spans="1:10">
      <c r="A773" t="s">
        <v>1741</v>
      </c>
      <c r="B773" t="s">
        <v>873</v>
      </c>
      <c r="C773" t="s">
        <v>454</v>
      </c>
      <c r="D773">
        <v>1</v>
      </c>
      <c r="E773" s="27">
        <v>375.86</v>
      </c>
      <c r="F773" s="28">
        <v>0.1</v>
      </c>
      <c r="G773" s="27">
        <v>338.27</v>
      </c>
      <c r="H773" s="27">
        <v>67.65</v>
      </c>
      <c r="I773" s="27">
        <v>405.92</v>
      </c>
      <c r="J773" s="29" cm="1">
        <f t="array" ref="J773">INDEX(Commandes!$B$2:$B$421,MATCH(B773,Commandes!$A$2:$A$421,0))</f>
        <v>45361</v>
      </c>
    </row>
    <row r="774" spans="1:10">
      <c r="A774" t="s">
        <v>1742</v>
      </c>
      <c r="B774" t="s">
        <v>874</v>
      </c>
      <c r="C774" t="s">
        <v>414</v>
      </c>
      <c r="D774">
        <v>1</v>
      </c>
      <c r="E774" s="27">
        <v>63.96</v>
      </c>
      <c r="F774" s="28">
        <v>0.1</v>
      </c>
      <c r="G774" s="27">
        <v>57.56</v>
      </c>
      <c r="H774" s="27">
        <v>11.51</v>
      </c>
      <c r="I774" s="27">
        <v>69.07</v>
      </c>
      <c r="J774" s="29" cm="1">
        <f t="array" ref="J774">INDEX(Commandes!$B$2:$B$421,MATCH(B774,Commandes!$A$2:$A$421,0))</f>
        <v>45936</v>
      </c>
    </row>
    <row r="775" spans="1:10">
      <c r="A775" t="s">
        <v>1743</v>
      </c>
      <c r="B775" t="s">
        <v>874</v>
      </c>
      <c r="C775" t="s">
        <v>454</v>
      </c>
      <c r="D775">
        <v>1</v>
      </c>
      <c r="E775" s="27">
        <v>375.86</v>
      </c>
      <c r="F775" s="28">
        <v>0</v>
      </c>
      <c r="G775" s="27">
        <v>375.86</v>
      </c>
      <c r="H775" s="27">
        <v>75.17</v>
      </c>
      <c r="I775" s="27">
        <v>451.03</v>
      </c>
      <c r="J775" s="29" cm="1">
        <f t="array" ref="J775">INDEX(Commandes!$B$2:$B$421,MATCH(B775,Commandes!$A$2:$A$421,0))</f>
        <v>45936</v>
      </c>
    </row>
    <row r="776" spans="1:10">
      <c r="A776" t="s">
        <v>1744</v>
      </c>
      <c r="B776" t="s">
        <v>875</v>
      </c>
      <c r="C776" t="s">
        <v>398</v>
      </c>
      <c r="D776">
        <v>1</v>
      </c>
      <c r="E776" s="27">
        <v>383.91</v>
      </c>
      <c r="F776" s="28">
        <v>0</v>
      </c>
      <c r="G776" s="27">
        <v>383.91</v>
      </c>
      <c r="H776" s="27">
        <v>76.78</v>
      </c>
      <c r="I776" s="27">
        <v>460.69</v>
      </c>
      <c r="J776" s="29" cm="1">
        <f t="array" ref="J776">INDEX(Commandes!$B$2:$B$421,MATCH(B776,Commandes!$A$2:$A$421,0))</f>
        <v>45921</v>
      </c>
    </row>
    <row r="777" spans="1:10">
      <c r="A777" t="s">
        <v>1745</v>
      </c>
      <c r="B777" t="s">
        <v>875</v>
      </c>
      <c r="C777" t="s">
        <v>433</v>
      </c>
      <c r="D777">
        <v>2</v>
      </c>
      <c r="E777" s="27">
        <v>58.14</v>
      </c>
      <c r="F777" s="28">
        <v>0</v>
      </c>
      <c r="G777" s="27">
        <v>116.28</v>
      </c>
      <c r="H777" s="27">
        <v>23.26</v>
      </c>
      <c r="I777" s="27">
        <v>139.54</v>
      </c>
      <c r="J777" s="29" cm="1">
        <f t="array" ref="J777">INDEX(Commandes!$B$2:$B$421,MATCH(B777,Commandes!$A$2:$A$421,0))</f>
        <v>45921</v>
      </c>
    </row>
    <row r="778" spans="1:10">
      <c r="A778" t="s">
        <v>1746</v>
      </c>
      <c r="B778" t="s">
        <v>875</v>
      </c>
      <c r="C778" t="s">
        <v>471</v>
      </c>
      <c r="D778">
        <v>3</v>
      </c>
      <c r="E778" s="27">
        <v>35.83</v>
      </c>
      <c r="F778" s="28">
        <v>0.1</v>
      </c>
      <c r="G778" s="27">
        <v>96.74</v>
      </c>
      <c r="H778" s="27">
        <v>19.35</v>
      </c>
      <c r="I778" s="27">
        <v>116.09</v>
      </c>
      <c r="J778" s="29" cm="1">
        <f t="array" ref="J778">INDEX(Commandes!$B$2:$B$421,MATCH(B778,Commandes!$A$2:$A$421,0))</f>
        <v>45921</v>
      </c>
    </row>
    <row r="779" spans="1:10">
      <c r="A779" t="s">
        <v>1747</v>
      </c>
      <c r="B779" t="s">
        <v>876</v>
      </c>
      <c r="C779" t="s">
        <v>465</v>
      </c>
      <c r="D779">
        <v>1</v>
      </c>
      <c r="E779" s="27">
        <v>44.16</v>
      </c>
      <c r="F779" s="28">
        <v>0</v>
      </c>
      <c r="G779" s="27">
        <v>44.16</v>
      </c>
      <c r="H779" s="27">
        <v>8.83</v>
      </c>
      <c r="I779" s="27">
        <v>52.99</v>
      </c>
      <c r="J779" s="29" cm="1">
        <f t="array" ref="J779">INDEX(Commandes!$B$2:$B$421,MATCH(B779,Commandes!$A$2:$A$421,0))</f>
        <v>45716</v>
      </c>
    </row>
    <row r="780" spans="1:10">
      <c r="A780" t="s">
        <v>1748</v>
      </c>
      <c r="B780" t="s">
        <v>876</v>
      </c>
      <c r="C780" t="s">
        <v>412</v>
      </c>
      <c r="D780">
        <v>1</v>
      </c>
      <c r="E780" s="27">
        <v>114.1</v>
      </c>
      <c r="F780" s="28">
        <v>0.1</v>
      </c>
      <c r="G780" s="27">
        <v>102.69</v>
      </c>
      <c r="H780" s="27">
        <v>20.54</v>
      </c>
      <c r="I780" s="27">
        <v>123.23</v>
      </c>
      <c r="J780" s="29" cm="1">
        <f t="array" ref="J780">INDEX(Commandes!$B$2:$B$421,MATCH(B780,Commandes!$A$2:$A$421,0))</f>
        <v>45716</v>
      </c>
    </row>
    <row r="781" spans="1:10">
      <c r="A781" t="s">
        <v>1749</v>
      </c>
      <c r="B781" t="s">
        <v>877</v>
      </c>
      <c r="C781" t="s">
        <v>454</v>
      </c>
      <c r="D781">
        <v>8</v>
      </c>
      <c r="E781" s="27">
        <v>375.86</v>
      </c>
      <c r="F781" s="28">
        <v>0</v>
      </c>
      <c r="G781" s="27">
        <v>3006.88</v>
      </c>
      <c r="H781" s="27">
        <v>601.38</v>
      </c>
      <c r="I781" s="27">
        <v>3608.26</v>
      </c>
      <c r="J781" s="29" cm="1">
        <f t="array" ref="J781">INDEX(Commandes!$B$2:$B$421,MATCH(B781,Commandes!$A$2:$A$421,0))</f>
        <v>45623</v>
      </c>
    </row>
    <row r="782" spans="1:10">
      <c r="A782" t="s">
        <v>1750</v>
      </c>
      <c r="B782" t="s">
        <v>877</v>
      </c>
      <c r="C782" t="s">
        <v>398</v>
      </c>
      <c r="D782">
        <v>1</v>
      </c>
      <c r="E782" s="27">
        <v>383.91</v>
      </c>
      <c r="F782" s="28">
        <v>0</v>
      </c>
      <c r="G782" s="27">
        <v>383.91</v>
      </c>
      <c r="H782" s="27">
        <v>76.78</v>
      </c>
      <c r="I782" s="27">
        <v>460.69</v>
      </c>
      <c r="J782" s="29" cm="1">
        <f t="array" ref="J782">INDEX(Commandes!$B$2:$B$421,MATCH(B782,Commandes!$A$2:$A$421,0))</f>
        <v>45623</v>
      </c>
    </row>
    <row r="783" spans="1:10">
      <c r="A783" t="s">
        <v>1751</v>
      </c>
      <c r="B783" t="s">
        <v>877</v>
      </c>
      <c r="C783" t="s">
        <v>463</v>
      </c>
      <c r="D783">
        <v>2</v>
      </c>
      <c r="E783" s="27">
        <v>73.02</v>
      </c>
      <c r="F783" s="28">
        <v>0.05</v>
      </c>
      <c r="G783" s="27">
        <v>138.74</v>
      </c>
      <c r="H783" s="27">
        <v>27.75</v>
      </c>
      <c r="I783" s="27">
        <v>166.49</v>
      </c>
      <c r="J783" s="29" cm="1">
        <f t="array" ref="J783">INDEX(Commandes!$B$2:$B$421,MATCH(B783,Commandes!$A$2:$A$421,0))</f>
        <v>45623</v>
      </c>
    </row>
    <row r="784" spans="1:10">
      <c r="A784" t="s">
        <v>1752</v>
      </c>
      <c r="B784" t="s">
        <v>878</v>
      </c>
      <c r="C784" t="s">
        <v>427</v>
      </c>
      <c r="D784">
        <v>5</v>
      </c>
      <c r="E784" s="27">
        <v>25.25</v>
      </c>
      <c r="F784" s="28">
        <v>0</v>
      </c>
      <c r="G784" s="27">
        <v>126.25</v>
      </c>
      <c r="H784" s="27">
        <v>25.25</v>
      </c>
      <c r="I784" s="27">
        <v>151.5</v>
      </c>
      <c r="J784" s="29" cm="1">
        <f t="array" ref="J784">INDEX(Commandes!$B$2:$B$421,MATCH(B784,Commandes!$A$2:$A$421,0))</f>
        <v>45328</v>
      </c>
    </row>
    <row r="785" spans="1:10">
      <c r="A785" t="s">
        <v>1753</v>
      </c>
      <c r="B785" t="s">
        <v>878</v>
      </c>
      <c r="C785" t="s">
        <v>442</v>
      </c>
      <c r="D785">
        <v>1</v>
      </c>
      <c r="E785" s="27">
        <v>374.59</v>
      </c>
      <c r="F785" s="28">
        <v>0.15</v>
      </c>
      <c r="G785" s="27">
        <v>318.4</v>
      </c>
      <c r="H785" s="27">
        <v>63.68</v>
      </c>
      <c r="I785" s="27">
        <v>382.08</v>
      </c>
      <c r="J785" s="29" cm="1">
        <f t="array" ref="J785">INDEX(Commandes!$B$2:$B$421,MATCH(B785,Commandes!$A$2:$A$421,0))</f>
        <v>45328</v>
      </c>
    </row>
    <row r="786" spans="1:10">
      <c r="A786" t="s">
        <v>1754</v>
      </c>
      <c r="B786" t="s">
        <v>879</v>
      </c>
      <c r="C786" t="s">
        <v>391</v>
      </c>
      <c r="D786">
        <v>1</v>
      </c>
      <c r="E786" s="27">
        <v>138.13</v>
      </c>
      <c r="F786" s="28">
        <v>0</v>
      </c>
      <c r="G786" s="27">
        <v>138.13</v>
      </c>
      <c r="H786" s="27">
        <v>27.63</v>
      </c>
      <c r="I786" s="27">
        <v>165.76</v>
      </c>
      <c r="J786" s="29" cm="1">
        <f t="array" ref="J786">INDEX(Commandes!$B$2:$B$421,MATCH(B786,Commandes!$A$2:$A$421,0))</f>
        <v>45986</v>
      </c>
    </row>
    <row r="787" spans="1:10">
      <c r="A787" t="s">
        <v>1755</v>
      </c>
      <c r="B787" t="s">
        <v>880</v>
      </c>
      <c r="C787" t="s">
        <v>473</v>
      </c>
      <c r="D787">
        <v>1</v>
      </c>
      <c r="E787" s="27">
        <v>40.73</v>
      </c>
      <c r="F787" s="28">
        <v>0</v>
      </c>
      <c r="G787" s="27">
        <v>40.73</v>
      </c>
      <c r="H787" s="27">
        <v>8.15</v>
      </c>
      <c r="I787" s="27">
        <v>48.88</v>
      </c>
      <c r="J787" s="29" cm="1">
        <f t="array" ref="J787">INDEX(Commandes!$B$2:$B$421,MATCH(B787,Commandes!$A$2:$A$421,0))</f>
        <v>45639</v>
      </c>
    </row>
    <row r="788" spans="1:10">
      <c r="A788" t="s">
        <v>1756</v>
      </c>
      <c r="B788" t="s">
        <v>880</v>
      </c>
      <c r="C788" t="s">
        <v>467</v>
      </c>
      <c r="D788">
        <v>1</v>
      </c>
      <c r="E788" s="27">
        <v>49.53</v>
      </c>
      <c r="F788" s="28">
        <v>0.05</v>
      </c>
      <c r="G788" s="27">
        <v>47.05</v>
      </c>
      <c r="H788" s="27">
        <v>9.41</v>
      </c>
      <c r="I788" s="27">
        <v>56.46</v>
      </c>
      <c r="J788" s="29" cm="1">
        <f t="array" ref="J788">INDEX(Commandes!$B$2:$B$421,MATCH(B788,Commandes!$A$2:$A$421,0))</f>
        <v>45639</v>
      </c>
    </row>
    <row r="789" spans="1:10">
      <c r="A789" t="s">
        <v>1757</v>
      </c>
      <c r="B789" t="s">
        <v>881</v>
      </c>
      <c r="C789" t="s">
        <v>396</v>
      </c>
      <c r="D789">
        <v>1</v>
      </c>
      <c r="E789" s="27">
        <v>225.64</v>
      </c>
      <c r="F789" s="28">
        <v>0</v>
      </c>
      <c r="G789" s="27">
        <v>225.64</v>
      </c>
      <c r="H789" s="27">
        <v>45.13</v>
      </c>
      <c r="I789" s="27">
        <v>270.77</v>
      </c>
      <c r="J789" s="29" cm="1">
        <f t="array" ref="J789">INDEX(Commandes!$B$2:$B$421,MATCH(B789,Commandes!$A$2:$A$421,0))</f>
        <v>45380</v>
      </c>
    </row>
    <row r="790" spans="1:10">
      <c r="A790" t="s">
        <v>1758</v>
      </c>
      <c r="B790" t="s">
        <v>881</v>
      </c>
      <c r="C790" t="s">
        <v>475</v>
      </c>
      <c r="D790">
        <v>1</v>
      </c>
      <c r="E790" s="27">
        <v>42</v>
      </c>
      <c r="F790" s="28">
        <v>0</v>
      </c>
      <c r="G790" s="27">
        <v>42</v>
      </c>
      <c r="H790" s="27">
        <v>8.4</v>
      </c>
      <c r="I790" s="27">
        <v>50.4</v>
      </c>
      <c r="J790" s="29" cm="1">
        <f t="array" ref="J790">INDEX(Commandes!$B$2:$B$421,MATCH(B790,Commandes!$A$2:$A$421,0))</f>
        <v>45380</v>
      </c>
    </row>
    <row r="791" spans="1:10">
      <c r="A791" t="s">
        <v>1759</v>
      </c>
      <c r="B791" t="s">
        <v>882</v>
      </c>
      <c r="C791" t="s">
        <v>435</v>
      </c>
      <c r="D791">
        <v>3</v>
      </c>
      <c r="E791" s="27">
        <v>262.34</v>
      </c>
      <c r="F791" s="28">
        <v>0.1</v>
      </c>
      <c r="G791" s="27">
        <v>708.32</v>
      </c>
      <c r="H791" s="27">
        <v>141.66</v>
      </c>
      <c r="I791" s="27">
        <v>849.98</v>
      </c>
      <c r="J791" s="29" cm="1">
        <f t="array" ref="J791">INDEX(Commandes!$B$2:$B$421,MATCH(B791,Commandes!$A$2:$A$421,0))</f>
        <v>45746</v>
      </c>
    </row>
    <row r="792" spans="1:10">
      <c r="A792" t="s">
        <v>1760</v>
      </c>
      <c r="B792" t="s">
        <v>882</v>
      </c>
      <c r="C792" t="s">
        <v>412</v>
      </c>
      <c r="D792">
        <v>3</v>
      </c>
      <c r="E792" s="27">
        <v>114.1</v>
      </c>
      <c r="F792" s="28">
        <v>0</v>
      </c>
      <c r="G792" s="27">
        <v>342.3</v>
      </c>
      <c r="H792" s="27">
        <v>68.46</v>
      </c>
      <c r="I792" s="27">
        <v>410.76</v>
      </c>
      <c r="J792" s="29" cm="1">
        <f t="array" ref="J792">INDEX(Commandes!$B$2:$B$421,MATCH(B792,Commandes!$A$2:$A$421,0))</f>
        <v>45746</v>
      </c>
    </row>
    <row r="793" spans="1:10">
      <c r="A793" t="s">
        <v>1761</v>
      </c>
      <c r="B793" t="s">
        <v>883</v>
      </c>
      <c r="C793" t="s">
        <v>442</v>
      </c>
      <c r="D793">
        <v>1</v>
      </c>
      <c r="E793" s="27">
        <v>374.59</v>
      </c>
      <c r="F793" s="28">
        <v>0</v>
      </c>
      <c r="G793" s="27">
        <v>374.59</v>
      </c>
      <c r="H793" s="27">
        <v>74.92</v>
      </c>
      <c r="I793" s="27">
        <v>449.51</v>
      </c>
      <c r="J793" s="29" cm="1">
        <f t="array" ref="J793">INDEX(Commandes!$B$2:$B$421,MATCH(B793,Commandes!$A$2:$A$421,0))</f>
        <v>45392</v>
      </c>
    </row>
    <row r="794" spans="1:10">
      <c r="A794" t="s">
        <v>1762</v>
      </c>
      <c r="B794" t="s">
        <v>883</v>
      </c>
      <c r="C794" t="s">
        <v>372</v>
      </c>
      <c r="D794">
        <v>2</v>
      </c>
      <c r="E794" s="27">
        <v>216.77</v>
      </c>
      <c r="F794" s="28">
        <v>0.1</v>
      </c>
      <c r="G794" s="27">
        <v>390.19</v>
      </c>
      <c r="H794" s="27">
        <v>78.04</v>
      </c>
      <c r="I794" s="27">
        <v>468.23</v>
      </c>
      <c r="J794" s="29" cm="1">
        <f t="array" ref="J794">INDEX(Commandes!$B$2:$B$421,MATCH(B794,Commandes!$A$2:$A$421,0))</f>
        <v>45392</v>
      </c>
    </row>
    <row r="795" spans="1:10">
      <c r="A795" t="s">
        <v>1763</v>
      </c>
      <c r="B795" t="s">
        <v>884</v>
      </c>
      <c r="C795" t="s">
        <v>412</v>
      </c>
      <c r="D795">
        <v>2</v>
      </c>
      <c r="E795" s="27">
        <v>114.1</v>
      </c>
      <c r="F795" s="28">
        <v>0</v>
      </c>
      <c r="G795" s="27">
        <v>228.2</v>
      </c>
      <c r="H795" s="27">
        <v>45.64</v>
      </c>
      <c r="I795" s="27">
        <v>273.84</v>
      </c>
      <c r="J795" s="29" cm="1">
        <f t="array" ref="J795">INDEX(Commandes!$B$2:$B$421,MATCH(B795,Commandes!$A$2:$A$421,0))</f>
        <v>45381</v>
      </c>
    </row>
    <row r="796" spans="1:10">
      <c r="A796" t="s">
        <v>1764</v>
      </c>
      <c r="B796" t="s">
        <v>884</v>
      </c>
      <c r="C796" t="s">
        <v>414</v>
      </c>
      <c r="D796">
        <v>1</v>
      </c>
      <c r="E796" s="27">
        <v>63.96</v>
      </c>
      <c r="F796" s="28">
        <v>0</v>
      </c>
      <c r="G796" s="27">
        <v>63.96</v>
      </c>
      <c r="H796" s="27">
        <v>12.79</v>
      </c>
      <c r="I796" s="27">
        <v>76.75</v>
      </c>
      <c r="J796" s="29" cm="1">
        <f t="array" ref="J796">INDEX(Commandes!$B$2:$B$421,MATCH(B796,Commandes!$A$2:$A$421,0))</f>
        <v>45381</v>
      </c>
    </row>
    <row r="797" spans="1:10">
      <c r="A797" t="s">
        <v>1765</v>
      </c>
      <c r="B797" t="s">
        <v>885</v>
      </c>
      <c r="C797" t="s">
        <v>387</v>
      </c>
      <c r="D797">
        <v>1</v>
      </c>
      <c r="E797" s="27">
        <v>37.91</v>
      </c>
      <c r="F797" s="28">
        <v>0.1</v>
      </c>
      <c r="G797" s="27">
        <v>34.12</v>
      </c>
      <c r="H797" s="27">
        <v>6.82</v>
      </c>
      <c r="I797" s="27">
        <v>40.94</v>
      </c>
      <c r="J797" s="29" cm="1">
        <f t="array" ref="J797">INDEX(Commandes!$B$2:$B$421,MATCH(B797,Commandes!$A$2:$A$421,0))</f>
        <v>45575</v>
      </c>
    </row>
    <row r="798" spans="1:10">
      <c r="A798" t="s">
        <v>1766</v>
      </c>
      <c r="B798" t="s">
        <v>886</v>
      </c>
      <c r="C798" t="s">
        <v>467</v>
      </c>
      <c r="D798">
        <v>3</v>
      </c>
      <c r="E798" s="27">
        <v>49.53</v>
      </c>
      <c r="F798" s="28">
        <v>0.1</v>
      </c>
      <c r="G798" s="27">
        <v>133.73</v>
      </c>
      <c r="H798" s="27">
        <v>26.75</v>
      </c>
      <c r="I798" s="27">
        <v>160.48</v>
      </c>
      <c r="J798" s="29" cm="1">
        <f t="array" ref="J798">INDEX(Commandes!$B$2:$B$421,MATCH(B798,Commandes!$A$2:$A$421,0))</f>
        <v>45865</v>
      </c>
    </row>
    <row r="799" spans="1:10">
      <c r="A799" t="s">
        <v>1767</v>
      </c>
      <c r="B799" t="s">
        <v>887</v>
      </c>
      <c r="C799" t="s">
        <v>370</v>
      </c>
      <c r="D799">
        <v>2</v>
      </c>
      <c r="E799" s="27">
        <v>970.58</v>
      </c>
      <c r="F799" s="28">
        <v>0.15</v>
      </c>
      <c r="G799" s="27">
        <v>1649.99</v>
      </c>
      <c r="H799" s="27">
        <v>330</v>
      </c>
      <c r="I799" s="27">
        <v>1979.99</v>
      </c>
      <c r="J799" s="29" cm="1">
        <f t="array" ref="J799">INDEX(Commandes!$B$2:$B$421,MATCH(B799,Commandes!$A$2:$A$421,0))</f>
        <v>45542</v>
      </c>
    </row>
    <row r="800" spans="1:10">
      <c r="A800" t="s">
        <v>1768</v>
      </c>
      <c r="B800" t="s">
        <v>888</v>
      </c>
      <c r="C800" t="s">
        <v>450</v>
      </c>
      <c r="D800">
        <v>2</v>
      </c>
      <c r="E800" s="27">
        <v>538.29</v>
      </c>
      <c r="F800" s="28">
        <v>0.15</v>
      </c>
      <c r="G800" s="27">
        <v>915.09</v>
      </c>
      <c r="H800" s="27">
        <v>183.02</v>
      </c>
      <c r="I800" s="27">
        <v>1098.11</v>
      </c>
      <c r="J800" s="29" cm="1">
        <f t="array" ref="J800">INDEX(Commandes!$B$2:$B$421,MATCH(B800,Commandes!$A$2:$A$421,0))</f>
        <v>45343</v>
      </c>
    </row>
    <row r="801" spans="1:10">
      <c r="A801" t="s">
        <v>1769</v>
      </c>
      <c r="B801" t="s">
        <v>888</v>
      </c>
      <c r="C801" t="s">
        <v>465</v>
      </c>
      <c r="D801">
        <v>1</v>
      </c>
      <c r="E801" s="27">
        <v>44.16</v>
      </c>
      <c r="F801" s="28">
        <v>0</v>
      </c>
      <c r="G801" s="27">
        <v>44.16</v>
      </c>
      <c r="H801" s="27">
        <v>8.83</v>
      </c>
      <c r="I801" s="27">
        <v>52.99</v>
      </c>
      <c r="J801" s="29" cm="1">
        <f t="array" ref="J801">INDEX(Commandes!$B$2:$B$421,MATCH(B801,Commandes!$A$2:$A$421,0))</f>
        <v>45343</v>
      </c>
    </row>
    <row r="802" spans="1:10">
      <c r="A802" t="s">
        <v>1770</v>
      </c>
      <c r="B802" t="s">
        <v>888</v>
      </c>
      <c r="C802" t="s">
        <v>412</v>
      </c>
      <c r="D802">
        <v>1</v>
      </c>
      <c r="E802" s="27">
        <v>114.1</v>
      </c>
      <c r="F802" s="28">
        <v>0</v>
      </c>
      <c r="G802" s="27">
        <v>114.1</v>
      </c>
      <c r="H802" s="27">
        <v>22.82</v>
      </c>
      <c r="I802" s="27">
        <v>136.92</v>
      </c>
      <c r="J802" s="29" cm="1">
        <f t="array" ref="J802">INDEX(Commandes!$B$2:$B$421,MATCH(B802,Commandes!$A$2:$A$421,0))</f>
        <v>45343</v>
      </c>
    </row>
    <row r="803" spans="1:10">
      <c r="A803" t="s">
        <v>1771</v>
      </c>
      <c r="B803" t="s">
        <v>889</v>
      </c>
      <c r="C803" t="s">
        <v>465</v>
      </c>
      <c r="D803">
        <v>2</v>
      </c>
      <c r="E803" s="27">
        <v>44.16</v>
      </c>
      <c r="F803" s="28">
        <v>0.05</v>
      </c>
      <c r="G803" s="27">
        <v>83.9</v>
      </c>
      <c r="H803" s="27">
        <v>16.78</v>
      </c>
      <c r="I803" s="27">
        <v>100.68</v>
      </c>
      <c r="J803" s="29" cm="1">
        <f t="array" ref="J803">INDEX(Commandes!$B$2:$B$421,MATCH(B803,Commandes!$A$2:$A$421,0))</f>
        <v>45978</v>
      </c>
    </row>
    <row r="804" spans="1:10">
      <c r="A804" t="s">
        <v>1772</v>
      </c>
      <c r="B804" t="s">
        <v>890</v>
      </c>
      <c r="C804" t="s">
        <v>454</v>
      </c>
      <c r="D804">
        <v>1</v>
      </c>
      <c r="E804" s="27">
        <v>375.86</v>
      </c>
      <c r="F804" s="28">
        <v>0</v>
      </c>
      <c r="G804" s="27">
        <v>375.86</v>
      </c>
      <c r="H804" s="27">
        <v>75.17</v>
      </c>
      <c r="I804" s="27">
        <v>451.03</v>
      </c>
      <c r="J804" s="29" cm="1">
        <f t="array" ref="J804">INDEX(Commandes!$B$2:$B$421,MATCH(B804,Commandes!$A$2:$A$421,0))</f>
        <v>45609</v>
      </c>
    </row>
    <row r="805" spans="1:10">
      <c r="A805" t="s">
        <v>1773</v>
      </c>
      <c r="B805" t="s">
        <v>890</v>
      </c>
      <c r="C805" t="s">
        <v>425</v>
      </c>
      <c r="D805">
        <v>1</v>
      </c>
      <c r="E805" s="27">
        <v>36.08</v>
      </c>
      <c r="F805" s="28">
        <v>0.15</v>
      </c>
      <c r="G805" s="27">
        <v>30.67</v>
      </c>
      <c r="H805" s="27">
        <v>6.13</v>
      </c>
      <c r="I805" s="27">
        <v>36.8</v>
      </c>
      <c r="J805" s="29" cm="1">
        <f t="array" ref="J805">INDEX(Commandes!$B$2:$B$421,MATCH(B805,Commandes!$A$2:$A$421,0))</f>
        <v>45609</v>
      </c>
    </row>
    <row r="806" spans="1:10">
      <c r="A806" t="s">
        <v>1774</v>
      </c>
      <c r="B806" t="s">
        <v>890</v>
      </c>
      <c r="C806" t="s">
        <v>417</v>
      </c>
      <c r="D806">
        <v>3</v>
      </c>
      <c r="E806" s="27">
        <v>59.79</v>
      </c>
      <c r="F806" s="28">
        <v>0</v>
      </c>
      <c r="G806" s="27">
        <v>179.37</v>
      </c>
      <c r="H806" s="27">
        <v>35.87</v>
      </c>
      <c r="I806" s="27">
        <v>215.24</v>
      </c>
      <c r="J806" s="29" cm="1">
        <f t="array" ref="J806">INDEX(Commandes!$B$2:$B$421,MATCH(B806,Commandes!$A$2:$A$421,0))</f>
        <v>45609</v>
      </c>
    </row>
    <row r="807" spans="1:10">
      <c r="A807" t="s">
        <v>1775</v>
      </c>
      <c r="B807" t="s">
        <v>890</v>
      </c>
      <c r="C807" t="s">
        <v>433</v>
      </c>
      <c r="D807">
        <v>2</v>
      </c>
      <c r="E807" s="27">
        <v>58.14</v>
      </c>
      <c r="F807" s="28">
        <v>0</v>
      </c>
      <c r="G807" s="27">
        <v>116.28</v>
      </c>
      <c r="H807" s="27">
        <v>23.26</v>
      </c>
      <c r="I807" s="27">
        <v>139.54</v>
      </c>
      <c r="J807" s="29" cm="1">
        <f t="array" ref="J807">INDEX(Commandes!$B$2:$B$421,MATCH(B807,Commandes!$A$2:$A$421,0))</f>
        <v>45609</v>
      </c>
    </row>
    <row r="808" spans="1:10">
      <c r="A808" t="s">
        <v>1776</v>
      </c>
      <c r="B808" t="s">
        <v>891</v>
      </c>
      <c r="C808" t="s">
        <v>452</v>
      </c>
      <c r="D808">
        <v>2</v>
      </c>
      <c r="E808" s="27">
        <v>381.57</v>
      </c>
      <c r="F808" s="28">
        <v>0.1</v>
      </c>
      <c r="G808" s="27">
        <v>686.83</v>
      </c>
      <c r="H808" s="27">
        <v>137.37</v>
      </c>
      <c r="I808" s="27">
        <v>824.2</v>
      </c>
      <c r="J808" s="29" cm="1">
        <f t="array" ref="J808">INDEX(Commandes!$B$2:$B$421,MATCH(B808,Commandes!$A$2:$A$421,0))</f>
        <v>45778</v>
      </c>
    </row>
    <row r="809" spans="1:10">
      <c r="A809" t="s">
        <v>1777</v>
      </c>
      <c r="B809" t="s">
        <v>891</v>
      </c>
      <c r="C809" t="s">
        <v>383</v>
      </c>
      <c r="D809">
        <v>1</v>
      </c>
      <c r="E809" s="27">
        <v>39.08</v>
      </c>
      <c r="F809" s="28">
        <v>0.15</v>
      </c>
      <c r="G809" s="27">
        <v>33.22</v>
      </c>
      <c r="H809" s="27">
        <v>6.64</v>
      </c>
      <c r="I809" s="27">
        <v>39.86</v>
      </c>
      <c r="J809" s="29" cm="1">
        <f t="array" ref="J809">INDEX(Commandes!$B$2:$B$421,MATCH(B809,Commandes!$A$2:$A$421,0))</f>
        <v>45778</v>
      </c>
    </row>
    <row r="810" spans="1:10">
      <c r="A810" t="s">
        <v>1778</v>
      </c>
      <c r="B810" t="s">
        <v>891</v>
      </c>
      <c r="C810" t="s">
        <v>383</v>
      </c>
      <c r="D810">
        <v>1</v>
      </c>
      <c r="E810" s="27">
        <v>39.08</v>
      </c>
      <c r="F810" s="28">
        <v>0.15</v>
      </c>
      <c r="G810" s="27">
        <v>33.22</v>
      </c>
      <c r="H810" s="27">
        <v>6.64</v>
      </c>
      <c r="I810" s="27">
        <v>39.86</v>
      </c>
      <c r="J810" s="29" cm="1">
        <f t="array" ref="J810">INDEX(Commandes!$B$2:$B$421,MATCH(B810,Commandes!$A$2:$A$421,0))</f>
        <v>45778</v>
      </c>
    </row>
    <row r="811" spans="1:10">
      <c r="A811" t="s">
        <v>1779</v>
      </c>
      <c r="B811" t="s">
        <v>892</v>
      </c>
      <c r="C811" t="s">
        <v>446</v>
      </c>
      <c r="D811">
        <v>1</v>
      </c>
      <c r="E811" s="27">
        <v>454.43</v>
      </c>
      <c r="F811" s="28">
        <v>0.05</v>
      </c>
      <c r="G811" s="27">
        <v>431.71</v>
      </c>
      <c r="H811" s="27">
        <v>86.34</v>
      </c>
      <c r="I811" s="27">
        <v>518.05</v>
      </c>
      <c r="J811" s="29" cm="1">
        <f t="array" ref="J811">INDEX(Commandes!$B$2:$B$421,MATCH(B811,Commandes!$A$2:$A$421,0))</f>
        <v>45364</v>
      </c>
    </row>
    <row r="812" spans="1:10">
      <c r="A812" t="s">
        <v>1780</v>
      </c>
      <c r="B812" t="s">
        <v>892</v>
      </c>
      <c r="C812" t="s">
        <v>423</v>
      </c>
      <c r="D812">
        <v>1</v>
      </c>
      <c r="E812" s="27">
        <v>46.02</v>
      </c>
      <c r="F812" s="28">
        <v>0</v>
      </c>
      <c r="G812" s="27">
        <v>46.02</v>
      </c>
      <c r="H812" s="27">
        <v>9.2</v>
      </c>
      <c r="I812" s="27">
        <v>55.22</v>
      </c>
      <c r="J812" s="29" cm="1">
        <f t="array" ref="J812">INDEX(Commandes!$B$2:$B$421,MATCH(B812,Commandes!$A$2:$A$421,0))</f>
        <v>45364</v>
      </c>
    </row>
    <row r="813" spans="1:10">
      <c r="A813" t="s">
        <v>1781</v>
      </c>
      <c r="B813" t="s">
        <v>893</v>
      </c>
      <c r="C813" t="s">
        <v>461</v>
      </c>
      <c r="D813">
        <v>1</v>
      </c>
      <c r="E813" s="27">
        <v>59.83</v>
      </c>
      <c r="F813" s="28">
        <v>0.15</v>
      </c>
      <c r="G813" s="27">
        <v>50.86</v>
      </c>
      <c r="H813" s="27">
        <v>10.17</v>
      </c>
      <c r="I813" s="27">
        <v>61.03</v>
      </c>
      <c r="J813" s="29" cm="1">
        <f t="array" ref="J813">INDEX(Commandes!$B$2:$B$421,MATCH(B813,Commandes!$A$2:$A$421,0))</f>
        <v>46002</v>
      </c>
    </row>
    <row r="814" spans="1:10">
      <c r="A814" t="s">
        <v>1782</v>
      </c>
      <c r="B814" t="s">
        <v>894</v>
      </c>
      <c r="C814" t="s">
        <v>431</v>
      </c>
      <c r="D814">
        <v>1</v>
      </c>
      <c r="E814" s="27">
        <v>47.74</v>
      </c>
      <c r="F814" s="28">
        <v>0.05</v>
      </c>
      <c r="G814" s="27">
        <v>45.35</v>
      </c>
      <c r="H814" s="27">
        <v>9.07</v>
      </c>
      <c r="I814" s="27">
        <v>54.42</v>
      </c>
      <c r="J814" s="29" cm="1">
        <f t="array" ref="J814">INDEX(Commandes!$B$2:$B$421,MATCH(B814,Commandes!$A$2:$A$421,0))</f>
        <v>45879</v>
      </c>
    </row>
    <row r="815" spans="1:10">
      <c r="A815" t="s">
        <v>1783</v>
      </c>
      <c r="B815" t="s">
        <v>894</v>
      </c>
      <c r="C815" t="s">
        <v>377</v>
      </c>
      <c r="D815">
        <v>2</v>
      </c>
      <c r="E815" s="27">
        <v>84.94</v>
      </c>
      <c r="F815" s="28">
        <v>0.15</v>
      </c>
      <c r="G815" s="27">
        <v>144.4</v>
      </c>
      <c r="H815" s="27">
        <v>28.88</v>
      </c>
      <c r="I815" s="27">
        <v>173.28</v>
      </c>
      <c r="J815" s="29" cm="1">
        <f t="array" ref="J815">INDEX(Commandes!$B$2:$B$421,MATCH(B815,Commandes!$A$2:$A$421,0))</f>
        <v>45879</v>
      </c>
    </row>
    <row r="816" spans="1:10">
      <c r="A816" t="s">
        <v>1784</v>
      </c>
      <c r="B816" t="s">
        <v>895</v>
      </c>
      <c r="C816" t="s">
        <v>389</v>
      </c>
      <c r="D816">
        <v>4</v>
      </c>
      <c r="E816" s="27">
        <v>120.37</v>
      </c>
      <c r="F816" s="28">
        <v>0.15</v>
      </c>
      <c r="G816" s="27">
        <v>409.26</v>
      </c>
      <c r="H816" s="27">
        <v>81.85</v>
      </c>
      <c r="I816" s="27">
        <v>491.11</v>
      </c>
      <c r="J816" s="29" cm="1">
        <f t="array" ref="J816">INDEX(Commandes!$B$2:$B$421,MATCH(B816,Commandes!$A$2:$A$421,0))</f>
        <v>45902</v>
      </c>
    </row>
    <row r="817" spans="1:10">
      <c r="A817" t="s">
        <v>1785</v>
      </c>
      <c r="B817" t="s">
        <v>896</v>
      </c>
      <c r="C817" t="s">
        <v>431</v>
      </c>
      <c r="D817">
        <v>1</v>
      </c>
      <c r="E817" s="27">
        <v>47.74</v>
      </c>
      <c r="F817" s="28">
        <v>0.15</v>
      </c>
      <c r="G817" s="27">
        <v>40.58</v>
      </c>
      <c r="H817" s="27">
        <v>8.12</v>
      </c>
      <c r="I817" s="27">
        <v>48.7</v>
      </c>
      <c r="J817" s="29" cm="1">
        <f t="array" ref="J817">INDEX(Commandes!$B$2:$B$421,MATCH(B817,Commandes!$A$2:$A$421,0))</f>
        <v>45292</v>
      </c>
    </row>
    <row r="818" spans="1:10">
      <c r="A818" t="s">
        <v>1786</v>
      </c>
      <c r="B818" t="s">
        <v>896</v>
      </c>
      <c r="C818" t="s">
        <v>414</v>
      </c>
      <c r="D818">
        <v>1</v>
      </c>
      <c r="E818" s="27">
        <v>63.96</v>
      </c>
      <c r="F818" s="28">
        <v>0.15</v>
      </c>
      <c r="G818" s="27">
        <v>54.37</v>
      </c>
      <c r="H818" s="27">
        <v>10.87</v>
      </c>
      <c r="I818" s="27">
        <v>65.24</v>
      </c>
      <c r="J818" s="29" cm="1">
        <f t="array" ref="J818">INDEX(Commandes!$B$2:$B$421,MATCH(B818,Commandes!$A$2:$A$421,0))</f>
        <v>45292</v>
      </c>
    </row>
    <row r="819" spans="1:10">
      <c r="A819" t="s">
        <v>1787</v>
      </c>
      <c r="B819" t="s">
        <v>897</v>
      </c>
      <c r="C819" t="s">
        <v>410</v>
      </c>
      <c r="D819">
        <v>1</v>
      </c>
      <c r="E819" s="27">
        <v>106.93</v>
      </c>
      <c r="F819" s="28">
        <v>0.1</v>
      </c>
      <c r="G819" s="27">
        <v>96.24</v>
      </c>
      <c r="H819" s="27">
        <v>19.25</v>
      </c>
      <c r="I819" s="27">
        <v>115.49</v>
      </c>
      <c r="J819" s="29" cm="1">
        <f t="array" ref="J819">INDEX(Commandes!$B$2:$B$421,MATCH(B819,Commandes!$A$2:$A$421,0))</f>
        <v>45603</v>
      </c>
    </row>
    <row r="820" spans="1:10">
      <c r="A820" t="s">
        <v>1788</v>
      </c>
      <c r="B820" t="s">
        <v>897</v>
      </c>
      <c r="C820" t="s">
        <v>374</v>
      </c>
      <c r="D820">
        <v>1</v>
      </c>
      <c r="E820" s="27">
        <v>251.56</v>
      </c>
      <c r="F820" s="28">
        <v>0.1</v>
      </c>
      <c r="G820" s="27">
        <v>226.4</v>
      </c>
      <c r="H820" s="27">
        <v>45.28</v>
      </c>
      <c r="I820" s="27">
        <v>271.68</v>
      </c>
      <c r="J820" s="29" cm="1">
        <f t="array" ref="J820">INDEX(Commandes!$B$2:$B$421,MATCH(B820,Commandes!$A$2:$A$421,0))</f>
        <v>45603</v>
      </c>
    </row>
    <row r="821" spans="1:10">
      <c r="A821" t="s">
        <v>1789</v>
      </c>
      <c r="B821" t="s">
        <v>897</v>
      </c>
      <c r="C821" t="s">
        <v>419</v>
      </c>
      <c r="D821">
        <v>1</v>
      </c>
      <c r="E821" s="27">
        <v>100.34</v>
      </c>
      <c r="F821" s="28">
        <v>0</v>
      </c>
      <c r="G821" s="27">
        <v>100.34</v>
      </c>
      <c r="H821" s="27">
        <v>20.07</v>
      </c>
      <c r="I821" s="27">
        <v>120.41</v>
      </c>
      <c r="J821" s="29" cm="1">
        <f t="array" ref="J821">INDEX(Commandes!$B$2:$B$421,MATCH(B821,Commandes!$A$2:$A$421,0))</f>
        <v>45603</v>
      </c>
    </row>
    <row r="822" spans="1:10">
      <c r="A822" t="s">
        <v>1790</v>
      </c>
      <c r="B822" t="s">
        <v>898</v>
      </c>
      <c r="C822" t="s">
        <v>444</v>
      </c>
      <c r="D822">
        <v>1</v>
      </c>
      <c r="E822" s="27">
        <v>442.3</v>
      </c>
      <c r="F822" s="28">
        <v>0</v>
      </c>
      <c r="G822" s="27">
        <v>442.3</v>
      </c>
      <c r="H822" s="27">
        <v>88.46</v>
      </c>
      <c r="I822" s="27">
        <v>530.76</v>
      </c>
      <c r="J822" s="29" cm="1">
        <f t="array" ref="J822">INDEX(Commandes!$B$2:$B$421,MATCH(B822,Commandes!$A$2:$A$421,0))</f>
        <v>45323</v>
      </c>
    </row>
    <row r="823" spans="1:10">
      <c r="A823" t="s">
        <v>1791</v>
      </c>
      <c r="B823" t="s">
        <v>898</v>
      </c>
      <c r="C823" t="s">
        <v>435</v>
      </c>
      <c r="D823">
        <v>1</v>
      </c>
      <c r="E823" s="27">
        <v>262.34</v>
      </c>
      <c r="F823" s="28">
        <v>0.1</v>
      </c>
      <c r="G823" s="27">
        <v>236.11</v>
      </c>
      <c r="H823" s="27">
        <v>47.22</v>
      </c>
      <c r="I823" s="27">
        <v>283.33</v>
      </c>
      <c r="J823" s="29" cm="1">
        <f t="array" ref="J823">INDEX(Commandes!$B$2:$B$421,MATCH(B823,Commandes!$A$2:$A$421,0))</f>
        <v>45323</v>
      </c>
    </row>
    <row r="824" spans="1:10">
      <c r="A824" t="s">
        <v>1792</v>
      </c>
      <c r="B824" t="s">
        <v>899</v>
      </c>
      <c r="C824" t="s">
        <v>459</v>
      </c>
      <c r="D824">
        <v>1</v>
      </c>
      <c r="E824" s="27">
        <v>70.8</v>
      </c>
      <c r="F824" s="28">
        <v>0.15</v>
      </c>
      <c r="G824" s="27">
        <v>60.18</v>
      </c>
      <c r="H824" s="27">
        <v>12.04</v>
      </c>
      <c r="I824" s="27">
        <v>72.22</v>
      </c>
      <c r="J824" s="29" cm="1">
        <f t="array" ref="J824">INDEX(Commandes!$B$2:$B$421,MATCH(B824,Commandes!$A$2:$A$421,0))</f>
        <v>45685</v>
      </c>
    </row>
    <row r="825" spans="1:10">
      <c r="A825" t="s">
        <v>1793</v>
      </c>
      <c r="B825" t="s">
        <v>900</v>
      </c>
      <c r="C825" t="s">
        <v>465</v>
      </c>
      <c r="D825">
        <v>2</v>
      </c>
      <c r="E825" s="27">
        <v>44.16</v>
      </c>
      <c r="F825" s="28">
        <v>0.05</v>
      </c>
      <c r="G825" s="27">
        <v>83.9</v>
      </c>
      <c r="H825" s="27">
        <v>16.78</v>
      </c>
      <c r="I825" s="27">
        <v>100.68</v>
      </c>
      <c r="J825" s="29" cm="1">
        <f t="array" ref="J825">INDEX(Commandes!$B$2:$B$421,MATCH(B825,Commandes!$A$2:$A$421,0))</f>
        <v>45790</v>
      </c>
    </row>
    <row r="826" spans="1:10">
      <c r="A826" t="s">
        <v>1794</v>
      </c>
      <c r="B826" t="s">
        <v>900</v>
      </c>
      <c r="C826" t="s">
        <v>454</v>
      </c>
      <c r="D826">
        <v>1</v>
      </c>
      <c r="E826" s="27">
        <v>375.86</v>
      </c>
      <c r="F826" s="28">
        <v>0.1</v>
      </c>
      <c r="G826" s="27">
        <v>338.27</v>
      </c>
      <c r="H826" s="27">
        <v>67.65</v>
      </c>
      <c r="I826" s="27">
        <v>405.92</v>
      </c>
      <c r="J826" s="29" cm="1">
        <f t="array" ref="J826">INDEX(Commandes!$B$2:$B$421,MATCH(B826,Commandes!$A$2:$A$421,0))</f>
        <v>45790</v>
      </c>
    </row>
    <row r="827" spans="1:10">
      <c r="A827" t="s">
        <v>1795</v>
      </c>
      <c r="B827" t="s">
        <v>900</v>
      </c>
      <c r="C827" t="s">
        <v>429</v>
      </c>
      <c r="D827">
        <v>2</v>
      </c>
      <c r="E827" s="27">
        <v>32.75</v>
      </c>
      <c r="F827" s="28">
        <v>0.05</v>
      </c>
      <c r="G827" s="27">
        <v>62.22</v>
      </c>
      <c r="H827" s="27">
        <v>12.44</v>
      </c>
      <c r="I827" s="27">
        <v>74.66</v>
      </c>
      <c r="J827" s="29" cm="1">
        <f t="array" ref="J827">INDEX(Commandes!$B$2:$B$421,MATCH(B827,Commandes!$A$2:$A$421,0))</f>
        <v>45790</v>
      </c>
    </row>
    <row r="828" spans="1:10">
      <c r="A828" t="s">
        <v>1796</v>
      </c>
      <c r="B828" t="s">
        <v>900</v>
      </c>
      <c r="C828" t="s">
        <v>423</v>
      </c>
      <c r="D828">
        <v>1</v>
      </c>
      <c r="E828" s="27">
        <v>46.02</v>
      </c>
      <c r="F828" s="28">
        <v>0</v>
      </c>
      <c r="G828" s="27">
        <v>46.02</v>
      </c>
      <c r="H828" s="27">
        <v>9.2</v>
      </c>
      <c r="I828" s="27">
        <v>55.22</v>
      </c>
      <c r="J828" s="29" cm="1">
        <f t="array" ref="J828">INDEX(Commandes!$B$2:$B$421,MATCH(B828,Commandes!$A$2:$A$421,0))</f>
        <v>45790</v>
      </c>
    </row>
    <row r="829" spans="1:10">
      <c r="A829" t="s">
        <v>1797</v>
      </c>
      <c r="B829" t="s">
        <v>901</v>
      </c>
      <c r="C829" t="s">
        <v>444</v>
      </c>
      <c r="D829">
        <v>2</v>
      </c>
      <c r="E829" s="27">
        <v>442.3</v>
      </c>
      <c r="F829" s="28">
        <v>0</v>
      </c>
      <c r="G829" s="27">
        <v>884.6</v>
      </c>
      <c r="H829" s="27">
        <v>176.92</v>
      </c>
      <c r="I829" s="27">
        <v>1061.52</v>
      </c>
      <c r="J829" s="29" cm="1">
        <f t="array" ref="J829">INDEX(Commandes!$B$2:$B$421,MATCH(B829,Commandes!$A$2:$A$421,0))</f>
        <v>45726</v>
      </c>
    </row>
    <row r="830" spans="1:10">
      <c r="A830" t="s">
        <v>1798</v>
      </c>
      <c r="B830" t="s">
        <v>901</v>
      </c>
      <c r="C830" t="s">
        <v>372</v>
      </c>
      <c r="D830">
        <v>2</v>
      </c>
      <c r="E830" s="27">
        <v>216.77</v>
      </c>
      <c r="F830" s="28">
        <v>0.15</v>
      </c>
      <c r="G830" s="27">
        <v>368.51</v>
      </c>
      <c r="H830" s="27">
        <v>73.7</v>
      </c>
      <c r="I830" s="27">
        <v>442.21</v>
      </c>
      <c r="J830" s="29" cm="1">
        <f t="array" ref="J830">INDEX(Commandes!$B$2:$B$421,MATCH(B830,Commandes!$A$2:$A$421,0))</f>
        <v>45726</v>
      </c>
    </row>
    <row r="831" spans="1:10">
      <c r="A831" t="s">
        <v>1799</v>
      </c>
      <c r="B831" t="s">
        <v>902</v>
      </c>
      <c r="C831" t="s">
        <v>442</v>
      </c>
      <c r="D831">
        <v>10</v>
      </c>
      <c r="E831" s="27">
        <v>374.59</v>
      </c>
      <c r="F831" s="28">
        <v>0</v>
      </c>
      <c r="G831" s="27">
        <v>3745.9</v>
      </c>
      <c r="H831" s="27">
        <v>749.18</v>
      </c>
      <c r="I831" s="27">
        <v>4495.08</v>
      </c>
      <c r="J831" s="29" cm="1">
        <f t="array" ref="J831">INDEX(Commandes!$B$2:$B$421,MATCH(B831,Commandes!$A$2:$A$421,0))</f>
        <v>45669</v>
      </c>
    </row>
    <row r="832" spans="1:10">
      <c r="A832" t="s">
        <v>1800</v>
      </c>
      <c r="B832" t="s">
        <v>902</v>
      </c>
      <c r="C832" t="s">
        <v>433</v>
      </c>
      <c r="D832">
        <v>2</v>
      </c>
      <c r="E832" s="27">
        <v>58.14</v>
      </c>
      <c r="F832" s="28">
        <v>0.1</v>
      </c>
      <c r="G832" s="27">
        <v>104.65</v>
      </c>
      <c r="H832" s="27">
        <v>20.93</v>
      </c>
      <c r="I832" s="27">
        <v>125.58</v>
      </c>
      <c r="J832" s="29" cm="1">
        <f t="array" ref="J832">INDEX(Commandes!$B$2:$B$421,MATCH(B832,Commandes!$A$2:$A$421,0))</f>
        <v>45669</v>
      </c>
    </row>
    <row r="833" spans="1:10">
      <c r="A833" t="s">
        <v>1801</v>
      </c>
      <c r="B833" t="s">
        <v>902</v>
      </c>
      <c r="C833" t="s">
        <v>454</v>
      </c>
      <c r="D833">
        <v>1</v>
      </c>
      <c r="E833" s="27">
        <v>375.86</v>
      </c>
      <c r="F833" s="28">
        <v>0.05</v>
      </c>
      <c r="G833" s="27">
        <v>357.07</v>
      </c>
      <c r="H833" s="27">
        <v>71.41</v>
      </c>
      <c r="I833" s="27">
        <v>428.48</v>
      </c>
      <c r="J833" s="29" cm="1">
        <f t="array" ref="J833">INDEX(Commandes!$B$2:$B$421,MATCH(B833,Commandes!$A$2:$A$421,0))</f>
        <v>45669</v>
      </c>
    </row>
    <row r="834" spans="1:10">
      <c r="A834" t="s">
        <v>1802</v>
      </c>
      <c r="B834" t="s">
        <v>903</v>
      </c>
      <c r="C834" t="s">
        <v>440</v>
      </c>
      <c r="D834">
        <v>4</v>
      </c>
      <c r="E834" s="27">
        <v>391.34</v>
      </c>
      <c r="F834" s="28">
        <v>0.1</v>
      </c>
      <c r="G834" s="27">
        <v>1408.82</v>
      </c>
      <c r="H834" s="27">
        <v>281.76</v>
      </c>
      <c r="I834" s="27">
        <v>1690.58</v>
      </c>
      <c r="J834" s="29" cm="1">
        <f t="array" ref="J834">INDEX(Commandes!$B$2:$B$421,MATCH(B834,Commandes!$A$2:$A$421,0))</f>
        <v>45937</v>
      </c>
    </row>
    <row r="835" spans="1:10">
      <c r="A835" t="s">
        <v>1803</v>
      </c>
      <c r="B835" t="s">
        <v>903</v>
      </c>
      <c r="C835" t="s">
        <v>469</v>
      </c>
      <c r="D835">
        <v>1</v>
      </c>
      <c r="E835" s="27">
        <v>30.71</v>
      </c>
      <c r="F835" s="28">
        <v>0</v>
      </c>
      <c r="G835" s="27">
        <v>30.71</v>
      </c>
      <c r="H835" s="27">
        <v>6.14</v>
      </c>
      <c r="I835" s="27">
        <v>36.85</v>
      </c>
      <c r="J835" s="29" cm="1">
        <f t="array" ref="J835">INDEX(Commandes!$B$2:$B$421,MATCH(B835,Commandes!$A$2:$A$421,0))</f>
        <v>45937</v>
      </c>
    </row>
    <row r="836" spans="1:10">
      <c r="A836" t="s">
        <v>1804</v>
      </c>
      <c r="B836" t="s">
        <v>904</v>
      </c>
      <c r="C836" t="s">
        <v>435</v>
      </c>
      <c r="D836">
        <v>2</v>
      </c>
      <c r="E836" s="27">
        <v>262.34</v>
      </c>
      <c r="F836" s="28">
        <v>0.1</v>
      </c>
      <c r="G836" s="27">
        <v>472.21</v>
      </c>
      <c r="H836" s="27">
        <v>94.44</v>
      </c>
      <c r="I836" s="27">
        <v>566.65</v>
      </c>
      <c r="J836" s="29" cm="1">
        <f t="array" ref="J836">INDEX(Commandes!$B$2:$B$421,MATCH(B836,Commandes!$A$2:$A$421,0))</f>
        <v>45593</v>
      </c>
    </row>
    <row r="837" spans="1:10">
      <c r="A837" t="s">
        <v>1805</v>
      </c>
      <c r="B837" t="s">
        <v>905</v>
      </c>
      <c r="C837" t="s">
        <v>408</v>
      </c>
      <c r="D837">
        <v>1</v>
      </c>
      <c r="E837" s="27">
        <v>19.65</v>
      </c>
      <c r="F837" s="28">
        <v>0.1</v>
      </c>
      <c r="G837" s="27">
        <v>17.68</v>
      </c>
      <c r="H837" s="27">
        <v>3.54</v>
      </c>
      <c r="I837" s="27">
        <v>21.22</v>
      </c>
      <c r="J837" s="29" cm="1">
        <f t="array" ref="J837">INDEX(Commandes!$B$2:$B$421,MATCH(B837,Commandes!$A$2:$A$421,0))</f>
        <v>45344</v>
      </c>
    </row>
    <row r="838" spans="1:10">
      <c r="A838" t="s">
        <v>1806</v>
      </c>
      <c r="B838" t="s">
        <v>905</v>
      </c>
      <c r="C838" t="s">
        <v>408</v>
      </c>
      <c r="D838">
        <v>1</v>
      </c>
      <c r="E838" s="27">
        <v>19.65</v>
      </c>
      <c r="F838" s="28">
        <v>0</v>
      </c>
      <c r="G838" s="27">
        <v>19.65</v>
      </c>
      <c r="H838" s="27">
        <v>3.93</v>
      </c>
      <c r="I838" s="27">
        <v>23.58</v>
      </c>
      <c r="J838" s="29" cm="1">
        <f t="array" ref="J838">INDEX(Commandes!$B$2:$B$421,MATCH(B838,Commandes!$A$2:$A$421,0))</f>
        <v>45344</v>
      </c>
    </row>
    <row r="839" spans="1:10">
      <c r="A839" t="s">
        <v>1807</v>
      </c>
      <c r="B839" t="s">
        <v>906</v>
      </c>
      <c r="C839" t="s">
        <v>396</v>
      </c>
      <c r="D839">
        <v>1</v>
      </c>
      <c r="E839" s="27">
        <v>225.64</v>
      </c>
      <c r="F839" s="28">
        <v>0.15</v>
      </c>
      <c r="G839" s="27">
        <v>191.79</v>
      </c>
      <c r="H839" s="27">
        <v>38.36</v>
      </c>
      <c r="I839" s="27">
        <v>230.15</v>
      </c>
      <c r="J839" s="29" cm="1">
        <f t="array" ref="J839">INDEX(Commandes!$B$2:$B$421,MATCH(B839,Commandes!$A$2:$A$421,0))</f>
        <v>45306</v>
      </c>
    </row>
    <row r="840" spans="1:10">
      <c r="A840" t="s">
        <v>1808</v>
      </c>
      <c r="B840" t="s">
        <v>906</v>
      </c>
      <c r="C840" t="s">
        <v>404</v>
      </c>
      <c r="D840">
        <v>2</v>
      </c>
      <c r="E840" s="27">
        <v>30.09</v>
      </c>
      <c r="F840" s="28">
        <v>0.1</v>
      </c>
      <c r="G840" s="27">
        <v>54.16</v>
      </c>
      <c r="H840" s="27">
        <v>10.83</v>
      </c>
      <c r="I840" s="27">
        <v>64.99</v>
      </c>
      <c r="J840" s="29" cm="1">
        <f t="array" ref="J840">INDEX(Commandes!$B$2:$B$421,MATCH(B840,Commandes!$A$2:$A$421,0))</f>
        <v>45306</v>
      </c>
    </row>
    <row r="841" spans="1:10">
      <c r="A841" t="s">
        <v>1809</v>
      </c>
      <c r="B841" t="s">
        <v>907</v>
      </c>
      <c r="C841" t="s">
        <v>427</v>
      </c>
      <c r="D841">
        <v>3</v>
      </c>
      <c r="E841" s="27">
        <v>25.25</v>
      </c>
      <c r="F841" s="28">
        <v>0</v>
      </c>
      <c r="G841" s="27">
        <v>75.75</v>
      </c>
      <c r="H841" s="27">
        <v>15.15</v>
      </c>
      <c r="I841" s="27">
        <v>90.9</v>
      </c>
      <c r="J841" s="29" cm="1">
        <f t="array" ref="J841">INDEX(Commandes!$B$2:$B$421,MATCH(B841,Commandes!$A$2:$A$421,0))</f>
        <v>45325</v>
      </c>
    </row>
    <row r="842" spans="1:10">
      <c r="A842" t="s">
        <v>1810</v>
      </c>
      <c r="B842" t="s">
        <v>907</v>
      </c>
      <c r="C842" t="s">
        <v>461</v>
      </c>
      <c r="D842">
        <v>1</v>
      </c>
      <c r="E842" s="27">
        <v>59.83</v>
      </c>
      <c r="F842" s="28">
        <v>0.15</v>
      </c>
      <c r="G842" s="27">
        <v>50.86</v>
      </c>
      <c r="H842" s="27">
        <v>10.17</v>
      </c>
      <c r="I842" s="27">
        <v>61.03</v>
      </c>
      <c r="J842" s="29" cm="1">
        <f t="array" ref="J842">INDEX(Commandes!$B$2:$B$421,MATCH(B842,Commandes!$A$2:$A$421,0))</f>
        <v>45325</v>
      </c>
    </row>
    <row r="843" spans="1:10">
      <c r="A843" t="s">
        <v>1811</v>
      </c>
      <c r="B843" t="s">
        <v>907</v>
      </c>
      <c r="C843" t="s">
        <v>393</v>
      </c>
      <c r="D843">
        <v>1</v>
      </c>
      <c r="E843" s="27">
        <v>196.18</v>
      </c>
      <c r="F843" s="28">
        <v>0.15</v>
      </c>
      <c r="G843" s="27">
        <v>166.75</v>
      </c>
      <c r="H843" s="27">
        <v>33.35</v>
      </c>
      <c r="I843" s="27">
        <v>200.1</v>
      </c>
      <c r="J843" s="29" cm="1">
        <f t="array" ref="J843">INDEX(Commandes!$B$2:$B$421,MATCH(B843,Commandes!$A$2:$A$421,0))</f>
        <v>45325</v>
      </c>
    </row>
    <row r="844" spans="1:10">
      <c r="A844" t="s">
        <v>1812</v>
      </c>
      <c r="B844" t="s">
        <v>908</v>
      </c>
      <c r="C844" t="s">
        <v>435</v>
      </c>
      <c r="D844">
        <v>3</v>
      </c>
      <c r="E844" s="27">
        <v>262.34</v>
      </c>
      <c r="F844" s="28">
        <v>0.1</v>
      </c>
      <c r="G844" s="27">
        <v>708.32</v>
      </c>
      <c r="H844" s="27">
        <v>141.66</v>
      </c>
      <c r="I844" s="27">
        <v>849.98</v>
      </c>
      <c r="J844" s="29" cm="1">
        <f t="array" ref="J844">INDEX(Commandes!$B$2:$B$421,MATCH(B844,Commandes!$A$2:$A$421,0))</f>
        <v>45645</v>
      </c>
    </row>
    <row r="845" spans="1:10">
      <c r="A845" t="s">
        <v>1813</v>
      </c>
      <c r="B845" t="s">
        <v>908</v>
      </c>
      <c r="C845" t="s">
        <v>402</v>
      </c>
      <c r="D845">
        <v>1</v>
      </c>
      <c r="E845" s="27">
        <v>26.57</v>
      </c>
      <c r="F845" s="28">
        <v>0.15</v>
      </c>
      <c r="G845" s="27">
        <v>22.58</v>
      </c>
      <c r="H845" s="27">
        <v>4.52</v>
      </c>
      <c r="I845" s="27">
        <v>27.1</v>
      </c>
      <c r="J845" s="29" cm="1">
        <f t="array" ref="J845">INDEX(Commandes!$B$2:$B$421,MATCH(B845,Commandes!$A$2:$A$421,0))</f>
        <v>45645</v>
      </c>
    </row>
    <row r="846" spans="1:10">
      <c r="A846" t="s">
        <v>1814</v>
      </c>
      <c r="B846" t="s">
        <v>909</v>
      </c>
      <c r="C846" t="s">
        <v>431</v>
      </c>
      <c r="D846">
        <v>1</v>
      </c>
      <c r="E846" s="27">
        <v>47.74</v>
      </c>
      <c r="F846" s="28">
        <v>0</v>
      </c>
      <c r="G846" s="27">
        <v>47.74</v>
      </c>
      <c r="H846" s="27">
        <v>9.55</v>
      </c>
      <c r="I846" s="27">
        <v>57.29</v>
      </c>
      <c r="J846" s="29" cm="1">
        <f t="array" ref="J846">INDEX(Commandes!$B$2:$B$421,MATCH(B846,Commandes!$A$2:$A$421,0))</f>
        <v>45691</v>
      </c>
    </row>
    <row r="847" spans="1:10">
      <c r="A847" t="s">
        <v>1815</v>
      </c>
      <c r="B847" t="s">
        <v>910</v>
      </c>
      <c r="C847" t="s">
        <v>459</v>
      </c>
      <c r="D847">
        <v>4</v>
      </c>
      <c r="E847" s="27">
        <v>70.8</v>
      </c>
      <c r="F847" s="28">
        <v>0</v>
      </c>
      <c r="G847" s="27">
        <v>283.2</v>
      </c>
      <c r="H847" s="27">
        <v>56.64</v>
      </c>
      <c r="I847" s="27">
        <v>339.84</v>
      </c>
      <c r="J847" s="29" cm="1">
        <f t="array" ref="J847">INDEX(Commandes!$B$2:$B$421,MATCH(B847,Commandes!$A$2:$A$421,0))</f>
        <v>45834</v>
      </c>
    </row>
    <row r="848" spans="1:10">
      <c r="A848" t="s">
        <v>1816</v>
      </c>
      <c r="B848" t="s">
        <v>910</v>
      </c>
      <c r="C848" t="s">
        <v>408</v>
      </c>
      <c r="D848">
        <v>1</v>
      </c>
      <c r="E848" s="27">
        <v>19.65</v>
      </c>
      <c r="F848" s="28">
        <v>0</v>
      </c>
      <c r="G848" s="27">
        <v>19.65</v>
      </c>
      <c r="H848" s="27">
        <v>3.93</v>
      </c>
      <c r="I848" s="27">
        <v>23.58</v>
      </c>
      <c r="J848" s="29" cm="1">
        <f t="array" ref="J848">INDEX(Commandes!$B$2:$B$421,MATCH(B848,Commandes!$A$2:$A$421,0))</f>
        <v>45834</v>
      </c>
    </row>
    <row r="849" spans="1:10">
      <c r="A849" t="s">
        <v>1817</v>
      </c>
      <c r="B849" t="s">
        <v>911</v>
      </c>
      <c r="C849" t="s">
        <v>463</v>
      </c>
      <c r="D849">
        <v>2</v>
      </c>
      <c r="E849" s="27">
        <v>73.02</v>
      </c>
      <c r="F849" s="28">
        <v>0</v>
      </c>
      <c r="G849" s="27">
        <v>146.04</v>
      </c>
      <c r="H849" s="27">
        <v>29.21</v>
      </c>
      <c r="I849" s="27">
        <v>175.25</v>
      </c>
      <c r="J849" s="29" cm="1">
        <f t="array" ref="J849">INDEX(Commandes!$B$2:$B$421,MATCH(B849,Commandes!$A$2:$A$421,0))</f>
        <v>45553</v>
      </c>
    </row>
    <row r="850" spans="1:10">
      <c r="A850" t="s">
        <v>1818</v>
      </c>
      <c r="B850" t="s">
        <v>911</v>
      </c>
      <c r="C850" t="s">
        <v>414</v>
      </c>
      <c r="D850">
        <v>2</v>
      </c>
      <c r="E850" s="27">
        <v>63.96</v>
      </c>
      <c r="F850" s="28">
        <v>0.15</v>
      </c>
      <c r="G850" s="27">
        <v>108.73</v>
      </c>
      <c r="H850" s="27">
        <v>21.75</v>
      </c>
      <c r="I850" s="27">
        <v>130.48</v>
      </c>
      <c r="J850" s="29" cm="1">
        <f t="array" ref="J850">INDEX(Commandes!$B$2:$B$421,MATCH(B850,Commandes!$A$2:$A$421,0))</f>
        <v>45553</v>
      </c>
    </row>
    <row r="851" spans="1:10">
      <c r="A851" t="s">
        <v>1819</v>
      </c>
      <c r="B851" t="s">
        <v>912</v>
      </c>
      <c r="C851" t="s">
        <v>469</v>
      </c>
      <c r="D851">
        <v>1</v>
      </c>
      <c r="E851" s="27">
        <v>30.71</v>
      </c>
      <c r="F851" s="28">
        <v>0</v>
      </c>
      <c r="G851" s="27">
        <v>30.71</v>
      </c>
      <c r="H851" s="27">
        <v>6.14</v>
      </c>
      <c r="I851" s="27">
        <v>36.85</v>
      </c>
      <c r="J851" s="29" cm="1">
        <f t="array" ref="J851">INDEX(Commandes!$B$2:$B$421,MATCH(B851,Commandes!$A$2:$A$421,0))</f>
        <v>45300</v>
      </c>
    </row>
    <row r="852" spans="1:10">
      <c r="A852" t="s">
        <v>1820</v>
      </c>
      <c r="B852" t="s">
        <v>912</v>
      </c>
      <c r="C852" t="s">
        <v>372</v>
      </c>
      <c r="D852">
        <v>1</v>
      </c>
      <c r="E852" s="27">
        <v>216.77</v>
      </c>
      <c r="F852" s="28">
        <v>0</v>
      </c>
      <c r="G852" s="27">
        <v>216.77</v>
      </c>
      <c r="H852" s="27">
        <v>43.35</v>
      </c>
      <c r="I852" s="27">
        <v>260.12</v>
      </c>
      <c r="J852" s="29" cm="1">
        <f t="array" ref="J852">INDEX(Commandes!$B$2:$B$421,MATCH(B852,Commandes!$A$2:$A$421,0))</f>
        <v>45300</v>
      </c>
    </row>
    <row r="853" spans="1:10">
      <c r="A853" t="s">
        <v>1821</v>
      </c>
      <c r="B853" t="s">
        <v>913</v>
      </c>
      <c r="C853" t="s">
        <v>389</v>
      </c>
      <c r="D853">
        <v>1</v>
      </c>
      <c r="E853" s="27">
        <v>120.37</v>
      </c>
      <c r="F853" s="28">
        <v>0.15</v>
      </c>
      <c r="G853" s="27">
        <v>102.31</v>
      </c>
      <c r="H853" s="27">
        <v>20.46</v>
      </c>
      <c r="I853" s="27">
        <v>122.77</v>
      </c>
      <c r="J853" s="29" cm="1">
        <f t="array" ref="J853">INDEX(Commandes!$B$2:$B$421,MATCH(B853,Commandes!$A$2:$A$421,0))</f>
        <v>45350</v>
      </c>
    </row>
    <row r="854" spans="1:10">
      <c r="A854" t="s">
        <v>1822</v>
      </c>
      <c r="B854" t="s">
        <v>913</v>
      </c>
      <c r="C854" t="s">
        <v>448</v>
      </c>
      <c r="D854">
        <v>3</v>
      </c>
      <c r="E854" s="27">
        <v>543.43</v>
      </c>
      <c r="F854" s="28">
        <v>0</v>
      </c>
      <c r="G854" s="27">
        <v>1630.29</v>
      </c>
      <c r="H854" s="27">
        <v>326.06</v>
      </c>
      <c r="I854" s="27">
        <v>1956.35</v>
      </c>
      <c r="J854" s="29" cm="1">
        <f t="array" ref="J854">INDEX(Commandes!$B$2:$B$421,MATCH(B854,Commandes!$A$2:$A$421,0))</f>
        <v>45350</v>
      </c>
    </row>
    <row r="855" spans="1:10">
      <c r="A855" t="s">
        <v>1823</v>
      </c>
      <c r="B855" t="s">
        <v>913</v>
      </c>
      <c r="C855" t="s">
        <v>387</v>
      </c>
      <c r="D855">
        <v>2</v>
      </c>
      <c r="E855" s="27">
        <v>37.91</v>
      </c>
      <c r="F855" s="28">
        <v>0</v>
      </c>
      <c r="G855" s="27">
        <v>75.82</v>
      </c>
      <c r="H855" s="27">
        <v>15.16</v>
      </c>
      <c r="I855" s="27">
        <v>90.98</v>
      </c>
      <c r="J855" s="29" cm="1">
        <f t="array" ref="J855">INDEX(Commandes!$B$2:$B$421,MATCH(B855,Commandes!$A$2:$A$421,0))</f>
        <v>45350</v>
      </c>
    </row>
    <row r="856" spans="1:10">
      <c r="A856" t="s">
        <v>1824</v>
      </c>
      <c r="B856" t="s">
        <v>913</v>
      </c>
      <c r="C856" t="s">
        <v>410</v>
      </c>
      <c r="D856">
        <v>2</v>
      </c>
      <c r="E856" s="27">
        <v>106.93</v>
      </c>
      <c r="F856" s="28">
        <v>0</v>
      </c>
      <c r="G856" s="27">
        <v>213.86</v>
      </c>
      <c r="H856" s="27">
        <v>42.77</v>
      </c>
      <c r="I856" s="27">
        <v>256.63</v>
      </c>
      <c r="J856" s="29" cm="1">
        <f t="array" ref="J856">INDEX(Commandes!$B$2:$B$421,MATCH(B856,Commandes!$A$2:$A$421,0))</f>
        <v>45350</v>
      </c>
    </row>
    <row r="857" spans="1:10">
      <c r="A857" t="s">
        <v>1825</v>
      </c>
      <c r="B857" t="s">
        <v>914</v>
      </c>
      <c r="C857" t="s">
        <v>377</v>
      </c>
      <c r="D857">
        <v>1</v>
      </c>
      <c r="E857" s="27">
        <v>84.94</v>
      </c>
      <c r="F857" s="28">
        <v>0</v>
      </c>
      <c r="G857" s="27">
        <v>84.94</v>
      </c>
      <c r="H857" s="27">
        <v>16.99</v>
      </c>
      <c r="I857" s="27">
        <v>101.93</v>
      </c>
      <c r="J857" s="29" cm="1">
        <f t="array" ref="J857">INDEX(Commandes!$B$2:$B$421,MATCH(B857,Commandes!$A$2:$A$421,0))</f>
        <v>45946</v>
      </c>
    </row>
    <row r="858" spans="1:10">
      <c r="A858" t="s">
        <v>1826</v>
      </c>
      <c r="B858" t="s">
        <v>915</v>
      </c>
      <c r="C858" t="s">
        <v>438</v>
      </c>
      <c r="D858">
        <v>8</v>
      </c>
      <c r="E858" s="27">
        <v>295.97</v>
      </c>
      <c r="F858" s="28">
        <v>0</v>
      </c>
      <c r="G858" s="27">
        <v>2367.76</v>
      </c>
      <c r="H858" s="27">
        <v>473.55</v>
      </c>
      <c r="I858" s="27">
        <v>2841.31</v>
      </c>
      <c r="J858" s="29" cm="1">
        <f t="array" ref="J858">INDEX(Commandes!$B$2:$B$421,MATCH(B858,Commandes!$A$2:$A$421,0))</f>
        <v>45683</v>
      </c>
    </row>
    <row r="859" spans="1:10">
      <c r="A859" t="s">
        <v>1827</v>
      </c>
      <c r="B859" t="s">
        <v>915</v>
      </c>
      <c r="C859" t="s">
        <v>454</v>
      </c>
      <c r="D859">
        <v>1</v>
      </c>
      <c r="E859" s="27">
        <v>375.86</v>
      </c>
      <c r="F859" s="28">
        <v>0.15</v>
      </c>
      <c r="G859" s="27">
        <v>319.48</v>
      </c>
      <c r="H859" s="27">
        <v>63.9</v>
      </c>
      <c r="I859" s="27">
        <v>383.38</v>
      </c>
      <c r="J859" s="29" cm="1">
        <f t="array" ref="J859">INDEX(Commandes!$B$2:$B$421,MATCH(B859,Commandes!$A$2:$A$421,0))</f>
        <v>45683</v>
      </c>
    </row>
    <row r="860" spans="1:10">
      <c r="A860" t="s">
        <v>1828</v>
      </c>
      <c r="B860" t="s">
        <v>916</v>
      </c>
      <c r="C860" t="s">
        <v>383</v>
      </c>
      <c r="D860">
        <v>1</v>
      </c>
      <c r="E860" s="27">
        <v>39.08</v>
      </c>
      <c r="F860" s="28">
        <v>0</v>
      </c>
      <c r="G860" s="27">
        <v>39.08</v>
      </c>
      <c r="H860" s="27">
        <v>7.82</v>
      </c>
      <c r="I860" s="27">
        <v>46.9</v>
      </c>
      <c r="J860" s="29" cm="1">
        <f t="array" ref="J860">INDEX(Commandes!$B$2:$B$421,MATCH(B860,Commandes!$A$2:$A$421,0))</f>
        <v>45795</v>
      </c>
    </row>
    <row r="861" spans="1:10">
      <c r="A861" t="s">
        <v>1829</v>
      </c>
      <c r="B861" t="s">
        <v>916</v>
      </c>
      <c r="C861" t="s">
        <v>448</v>
      </c>
      <c r="D861">
        <v>3</v>
      </c>
      <c r="E861" s="27">
        <v>543.43</v>
      </c>
      <c r="F861" s="28">
        <v>0.05</v>
      </c>
      <c r="G861" s="27">
        <v>1548.78</v>
      </c>
      <c r="H861" s="27">
        <v>309.76</v>
      </c>
      <c r="I861" s="27">
        <v>1858.54</v>
      </c>
      <c r="J861" s="29" cm="1">
        <f t="array" ref="J861">INDEX(Commandes!$B$2:$B$421,MATCH(B861,Commandes!$A$2:$A$421,0))</f>
        <v>45795</v>
      </c>
    </row>
    <row r="862" spans="1:10">
      <c r="A862" t="s">
        <v>1830</v>
      </c>
      <c r="B862" t="s">
        <v>916</v>
      </c>
      <c r="C862" t="s">
        <v>370</v>
      </c>
      <c r="D862">
        <v>4</v>
      </c>
      <c r="E862" s="27">
        <v>970.58</v>
      </c>
      <c r="F862" s="28">
        <v>0</v>
      </c>
      <c r="G862" s="27">
        <v>3882.32</v>
      </c>
      <c r="H862" s="27">
        <v>776.46</v>
      </c>
      <c r="I862" s="27">
        <v>4658.78</v>
      </c>
      <c r="J862" s="29" cm="1">
        <f t="array" ref="J862">INDEX(Commandes!$B$2:$B$421,MATCH(B862,Commandes!$A$2:$A$421,0))</f>
        <v>45795</v>
      </c>
    </row>
    <row r="863" spans="1:10">
      <c r="A863" t="s">
        <v>1831</v>
      </c>
      <c r="B863" t="s">
        <v>917</v>
      </c>
      <c r="C863" t="s">
        <v>425</v>
      </c>
      <c r="D863">
        <v>2</v>
      </c>
      <c r="E863" s="27">
        <v>36.08</v>
      </c>
      <c r="F863" s="28">
        <v>0.1</v>
      </c>
      <c r="G863" s="27">
        <v>64.94</v>
      </c>
      <c r="H863" s="27">
        <v>12.99</v>
      </c>
      <c r="I863" s="27">
        <v>77.93</v>
      </c>
      <c r="J863" s="29" cm="1">
        <f t="array" ref="J863">INDEX(Commandes!$B$2:$B$421,MATCH(B863,Commandes!$A$2:$A$421,0))</f>
        <v>45960</v>
      </c>
    </row>
    <row r="864" spans="1:10">
      <c r="A864" t="s">
        <v>1832</v>
      </c>
      <c r="B864" t="s">
        <v>917</v>
      </c>
      <c r="C864" t="s">
        <v>467</v>
      </c>
      <c r="D864">
        <v>5</v>
      </c>
      <c r="E864" s="27">
        <v>49.53</v>
      </c>
      <c r="F864" s="28">
        <v>0.05</v>
      </c>
      <c r="G864" s="27">
        <v>235.27</v>
      </c>
      <c r="H864" s="27">
        <v>47.05</v>
      </c>
      <c r="I864" s="27">
        <v>282.32</v>
      </c>
      <c r="J864" s="29" cm="1">
        <f t="array" ref="J864">INDEX(Commandes!$B$2:$B$421,MATCH(B864,Commandes!$A$2:$A$421,0))</f>
        <v>45960</v>
      </c>
    </row>
    <row r="865" spans="1:10">
      <c r="A865" t="s">
        <v>1833</v>
      </c>
      <c r="B865" t="s">
        <v>917</v>
      </c>
      <c r="C865" t="s">
        <v>435</v>
      </c>
      <c r="D865">
        <v>1</v>
      </c>
      <c r="E865" s="27">
        <v>262.34</v>
      </c>
      <c r="F865" s="28">
        <v>0.15</v>
      </c>
      <c r="G865" s="27">
        <v>222.99</v>
      </c>
      <c r="H865" s="27">
        <v>44.6</v>
      </c>
      <c r="I865" s="27">
        <v>267.59</v>
      </c>
      <c r="J865" s="29" cm="1">
        <f t="array" ref="J865">INDEX(Commandes!$B$2:$B$421,MATCH(B865,Commandes!$A$2:$A$421,0))</f>
        <v>45960</v>
      </c>
    </row>
    <row r="866" spans="1:10">
      <c r="A866" t="s">
        <v>1834</v>
      </c>
      <c r="B866" t="s">
        <v>918</v>
      </c>
      <c r="C866" t="s">
        <v>419</v>
      </c>
      <c r="D866">
        <v>1</v>
      </c>
      <c r="E866" s="27">
        <v>100.34</v>
      </c>
      <c r="F866" s="28">
        <v>0</v>
      </c>
      <c r="G866" s="27">
        <v>100.34</v>
      </c>
      <c r="H866" s="27">
        <v>20.07</v>
      </c>
      <c r="I866" s="27">
        <v>120.41</v>
      </c>
      <c r="J866" s="29" cm="1">
        <f t="array" ref="J866">INDEX(Commandes!$B$2:$B$421,MATCH(B866,Commandes!$A$2:$A$421,0))</f>
        <v>45363</v>
      </c>
    </row>
    <row r="867" spans="1:10">
      <c r="A867" t="s">
        <v>1835</v>
      </c>
      <c r="B867" t="s">
        <v>918</v>
      </c>
      <c r="C867" t="s">
        <v>425</v>
      </c>
      <c r="D867">
        <v>1</v>
      </c>
      <c r="E867" s="27">
        <v>36.08</v>
      </c>
      <c r="F867" s="28">
        <v>0.15</v>
      </c>
      <c r="G867" s="27">
        <v>30.67</v>
      </c>
      <c r="H867" s="27">
        <v>6.13</v>
      </c>
      <c r="I867" s="27">
        <v>36.8</v>
      </c>
      <c r="J867" s="29" cm="1">
        <f t="array" ref="J867">INDEX(Commandes!$B$2:$B$421,MATCH(B867,Commandes!$A$2:$A$421,0))</f>
        <v>45363</v>
      </c>
    </row>
    <row r="868" spans="1:10">
      <c r="A868" t="s">
        <v>1836</v>
      </c>
      <c r="B868" t="s">
        <v>919</v>
      </c>
      <c r="C868" t="s">
        <v>396</v>
      </c>
      <c r="D868">
        <v>2</v>
      </c>
      <c r="E868" s="27">
        <v>225.64</v>
      </c>
      <c r="F868" s="28">
        <v>0.05</v>
      </c>
      <c r="G868" s="27">
        <v>428.72</v>
      </c>
      <c r="H868" s="27">
        <v>85.74</v>
      </c>
      <c r="I868" s="27">
        <v>514.46</v>
      </c>
      <c r="J868" s="29" cm="1">
        <f t="array" ref="J868">INDEX(Commandes!$B$2:$B$421,MATCH(B868,Commandes!$A$2:$A$421,0))</f>
        <v>45384</v>
      </c>
    </row>
    <row r="869" spans="1:10">
      <c r="A869" t="s">
        <v>1837</v>
      </c>
      <c r="B869" t="s">
        <v>919</v>
      </c>
      <c r="C869" t="s">
        <v>461</v>
      </c>
      <c r="D869">
        <v>1</v>
      </c>
      <c r="E869" s="27">
        <v>59.83</v>
      </c>
      <c r="F869" s="28">
        <v>0.15</v>
      </c>
      <c r="G869" s="27">
        <v>50.86</v>
      </c>
      <c r="H869" s="27">
        <v>10.17</v>
      </c>
      <c r="I869" s="27">
        <v>61.03</v>
      </c>
      <c r="J869" s="29" cm="1">
        <f t="array" ref="J869">INDEX(Commandes!$B$2:$B$421,MATCH(B869,Commandes!$A$2:$A$421,0))</f>
        <v>45384</v>
      </c>
    </row>
    <row r="870" spans="1:10">
      <c r="A870" t="s">
        <v>1838</v>
      </c>
      <c r="B870" t="s">
        <v>920</v>
      </c>
      <c r="C870" t="s">
        <v>398</v>
      </c>
      <c r="D870">
        <v>1</v>
      </c>
      <c r="E870" s="27">
        <v>383.91</v>
      </c>
      <c r="F870" s="28">
        <v>0.1</v>
      </c>
      <c r="G870" s="27">
        <v>345.52</v>
      </c>
      <c r="H870" s="27">
        <v>69.1</v>
      </c>
      <c r="I870" s="27">
        <v>414.62</v>
      </c>
      <c r="J870" s="29" cm="1">
        <f t="array" ref="J870">INDEX(Commandes!$B$2:$B$421,MATCH(B870,Commandes!$A$2:$A$421,0))</f>
        <v>45691</v>
      </c>
    </row>
    <row r="871" spans="1:10">
      <c r="A871" t="s">
        <v>1839</v>
      </c>
      <c r="B871" t="s">
        <v>921</v>
      </c>
      <c r="C871" t="s">
        <v>431</v>
      </c>
      <c r="D871">
        <v>8</v>
      </c>
      <c r="E871" s="27">
        <v>47.74</v>
      </c>
      <c r="F871" s="28">
        <v>0</v>
      </c>
      <c r="G871" s="27">
        <v>381.92</v>
      </c>
      <c r="H871" s="27">
        <v>76.38</v>
      </c>
      <c r="I871" s="27">
        <v>458.3</v>
      </c>
      <c r="J871" s="29" cm="1">
        <f t="array" ref="J871">INDEX(Commandes!$B$2:$B$421,MATCH(B871,Commandes!$A$2:$A$421,0))</f>
        <v>45536</v>
      </c>
    </row>
    <row r="872" spans="1:10">
      <c r="A872" t="s">
        <v>1840</v>
      </c>
      <c r="B872" t="s">
        <v>921</v>
      </c>
      <c r="C872" t="s">
        <v>372</v>
      </c>
      <c r="D872">
        <v>1</v>
      </c>
      <c r="E872" s="27">
        <v>216.77</v>
      </c>
      <c r="F872" s="28">
        <v>0</v>
      </c>
      <c r="G872" s="27">
        <v>216.77</v>
      </c>
      <c r="H872" s="27">
        <v>43.35</v>
      </c>
      <c r="I872" s="27">
        <v>260.12</v>
      </c>
      <c r="J872" s="29" cm="1">
        <f t="array" ref="J872">INDEX(Commandes!$B$2:$B$421,MATCH(B872,Commandes!$A$2:$A$421,0))</f>
        <v>45536</v>
      </c>
    </row>
    <row r="873" spans="1:10">
      <c r="A873" t="s">
        <v>1841</v>
      </c>
      <c r="B873" t="s">
        <v>922</v>
      </c>
      <c r="C873" t="s">
        <v>402</v>
      </c>
      <c r="D873">
        <v>5</v>
      </c>
      <c r="E873" s="27">
        <v>26.57</v>
      </c>
      <c r="F873" s="28">
        <v>0</v>
      </c>
      <c r="G873" s="27">
        <v>132.85</v>
      </c>
      <c r="H873" s="27">
        <v>26.57</v>
      </c>
      <c r="I873" s="27">
        <v>159.42</v>
      </c>
      <c r="J873" s="29" cm="1">
        <f t="array" ref="J873">INDEX(Commandes!$B$2:$B$421,MATCH(B873,Commandes!$A$2:$A$421,0))</f>
        <v>45335</v>
      </c>
    </row>
    <row r="874" spans="1:10">
      <c r="A874" t="s">
        <v>1842</v>
      </c>
      <c r="B874" t="s">
        <v>922</v>
      </c>
      <c r="C874" t="s">
        <v>471</v>
      </c>
      <c r="D874">
        <v>1</v>
      </c>
      <c r="E874" s="27">
        <v>35.83</v>
      </c>
      <c r="F874" s="28">
        <v>0.15</v>
      </c>
      <c r="G874" s="27">
        <v>30.46</v>
      </c>
      <c r="H874" s="27">
        <v>6.09</v>
      </c>
      <c r="I874" s="27">
        <v>36.55</v>
      </c>
      <c r="J874" s="29" cm="1">
        <f t="array" ref="J874">INDEX(Commandes!$B$2:$B$421,MATCH(B874,Commandes!$A$2:$A$421,0))</f>
        <v>45335</v>
      </c>
    </row>
    <row r="875" spans="1:10">
      <c r="A875" t="s">
        <v>1843</v>
      </c>
      <c r="B875" t="s">
        <v>922</v>
      </c>
      <c r="C875" t="s">
        <v>370</v>
      </c>
      <c r="D875">
        <v>2</v>
      </c>
      <c r="E875" s="27">
        <v>970.58</v>
      </c>
      <c r="F875" s="28">
        <v>0.1</v>
      </c>
      <c r="G875" s="27">
        <v>1747.04</v>
      </c>
      <c r="H875" s="27">
        <v>349.41</v>
      </c>
      <c r="I875" s="27">
        <v>2096.45</v>
      </c>
      <c r="J875" s="29" cm="1">
        <f t="array" ref="J875">INDEX(Commandes!$B$2:$B$421,MATCH(B875,Commandes!$A$2:$A$421,0))</f>
        <v>45335</v>
      </c>
    </row>
    <row r="876" spans="1:10">
      <c r="A876" t="s">
        <v>1844</v>
      </c>
      <c r="B876" t="s">
        <v>923</v>
      </c>
      <c r="C876" t="s">
        <v>383</v>
      </c>
      <c r="D876">
        <v>2</v>
      </c>
      <c r="E876" s="27">
        <v>39.08</v>
      </c>
      <c r="F876" s="28">
        <v>0</v>
      </c>
      <c r="G876" s="27">
        <v>78.16</v>
      </c>
      <c r="H876" s="27">
        <v>15.63</v>
      </c>
      <c r="I876" s="27">
        <v>93.79</v>
      </c>
      <c r="J876" s="29" cm="1">
        <f t="array" ref="J876">INDEX(Commandes!$B$2:$B$421,MATCH(B876,Commandes!$A$2:$A$421,0))</f>
        <v>45338</v>
      </c>
    </row>
    <row r="877" spans="1:10">
      <c r="A877" t="s">
        <v>1845</v>
      </c>
      <c r="B877" t="s">
        <v>923</v>
      </c>
      <c r="C877" t="s">
        <v>450</v>
      </c>
      <c r="D877">
        <v>1</v>
      </c>
      <c r="E877" s="27">
        <v>538.29</v>
      </c>
      <c r="F877" s="28">
        <v>0</v>
      </c>
      <c r="G877" s="27">
        <v>538.29</v>
      </c>
      <c r="H877" s="27">
        <v>107.66</v>
      </c>
      <c r="I877" s="27">
        <v>645.95</v>
      </c>
      <c r="J877" s="29" cm="1">
        <f t="array" ref="J877">INDEX(Commandes!$B$2:$B$421,MATCH(B877,Commandes!$A$2:$A$421,0))</f>
        <v>45338</v>
      </c>
    </row>
    <row r="878" spans="1:10">
      <c r="A878" t="s">
        <v>1846</v>
      </c>
      <c r="B878" t="s">
        <v>923</v>
      </c>
      <c r="C878" t="s">
        <v>387</v>
      </c>
      <c r="D878">
        <v>2</v>
      </c>
      <c r="E878" s="27">
        <v>37.91</v>
      </c>
      <c r="F878" s="28">
        <v>0.1</v>
      </c>
      <c r="G878" s="27">
        <v>68.24</v>
      </c>
      <c r="H878" s="27">
        <v>13.65</v>
      </c>
      <c r="I878" s="27">
        <v>81.89</v>
      </c>
      <c r="J878" s="29" cm="1">
        <f t="array" ref="J878">INDEX(Commandes!$B$2:$B$421,MATCH(B878,Commandes!$A$2:$A$421,0))</f>
        <v>45338</v>
      </c>
    </row>
    <row r="879" spans="1:10">
      <c r="A879" t="s">
        <v>1847</v>
      </c>
      <c r="B879" t="s">
        <v>924</v>
      </c>
      <c r="C879" t="s">
        <v>463</v>
      </c>
      <c r="D879">
        <v>2</v>
      </c>
      <c r="E879" s="27">
        <v>73.02</v>
      </c>
      <c r="F879" s="28">
        <v>0</v>
      </c>
      <c r="G879" s="27">
        <v>146.04</v>
      </c>
      <c r="H879" s="27">
        <v>29.21</v>
      </c>
      <c r="I879" s="27">
        <v>175.25</v>
      </c>
      <c r="J879" s="29" cm="1">
        <f t="array" ref="J879">INDEX(Commandes!$B$2:$B$421,MATCH(B879,Commandes!$A$2:$A$421,0))</f>
        <v>45517</v>
      </c>
    </row>
    <row r="880" spans="1:10">
      <c r="A880" t="s">
        <v>1848</v>
      </c>
      <c r="B880" t="s">
        <v>925</v>
      </c>
      <c r="C880" t="s">
        <v>391</v>
      </c>
      <c r="D880">
        <v>3</v>
      </c>
      <c r="E880" s="27">
        <v>138.13</v>
      </c>
      <c r="F880" s="28">
        <v>0</v>
      </c>
      <c r="G880" s="27">
        <v>414.39</v>
      </c>
      <c r="H880" s="27">
        <v>82.88</v>
      </c>
      <c r="I880" s="27">
        <v>497.27</v>
      </c>
      <c r="J880" s="29" cm="1">
        <f t="array" ref="J880">INDEX(Commandes!$B$2:$B$421,MATCH(B880,Commandes!$A$2:$A$421,0))</f>
        <v>45621</v>
      </c>
    </row>
    <row r="881" spans="1:10">
      <c r="A881" t="s">
        <v>1849</v>
      </c>
      <c r="B881" t="s">
        <v>926</v>
      </c>
      <c r="C881" t="s">
        <v>456</v>
      </c>
      <c r="D881">
        <v>2</v>
      </c>
      <c r="E881" s="27">
        <v>62.13</v>
      </c>
      <c r="F881" s="28">
        <v>0</v>
      </c>
      <c r="G881" s="27">
        <v>124.26</v>
      </c>
      <c r="H881" s="27">
        <v>24.85</v>
      </c>
      <c r="I881" s="27">
        <v>149.11</v>
      </c>
      <c r="J881" s="29" cm="1">
        <f t="array" ref="J881">INDEX(Commandes!$B$2:$B$421,MATCH(B881,Commandes!$A$2:$A$421,0))</f>
        <v>46005</v>
      </c>
    </row>
    <row r="882" spans="1:10">
      <c r="A882" t="s">
        <v>1850</v>
      </c>
      <c r="B882" t="s">
        <v>927</v>
      </c>
      <c r="C882" t="s">
        <v>450</v>
      </c>
      <c r="D882">
        <v>4</v>
      </c>
      <c r="E882" s="27">
        <v>538.29</v>
      </c>
      <c r="F882" s="28">
        <v>0.05</v>
      </c>
      <c r="G882" s="27">
        <v>2045.5</v>
      </c>
      <c r="H882" s="27">
        <v>409.1</v>
      </c>
      <c r="I882" s="27">
        <v>2454.6</v>
      </c>
      <c r="J882" s="29" cm="1">
        <f t="array" ref="J882">INDEX(Commandes!$B$2:$B$421,MATCH(B882,Commandes!$A$2:$A$421,0))</f>
        <v>45308</v>
      </c>
    </row>
    <row r="883" spans="1:10">
      <c r="A883" t="s">
        <v>1851</v>
      </c>
      <c r="B883" t="s">
        <v>927</v>
      </c>
      <c r="C883" t="s">
        <v>465</v>
      </c>
      <c r="D883">
        <v>3</v>
      </c>
      <c r="E883" s="27">
        <v>44.16</v>
      </c>
      <c r="F883" s="28">
        <v>0.05</v>
      </c>
      <c r="G883" s="27">
        <v>125.86</v>
      </c>
      <c r="H883" s="27">
        <v>25.17</v>
      </c>
      <c r="I883" s="27">
        <v>151.03</v>
      </c>
      <c r="J883" s="29" cm="1">
        <f t="array" ref="J883">INDEX(Commandes!$B$2:$B$421,MATCH(B883,Commandes!$A$2:$A$421,0))</f>
        <v>45308</v>
      </c>
    </row>
    <row r="884" spans="1:10">
      <c r="A884" t="s">
        <v>1852</v>
      </c>
      <c r="B884" t="s">
        <v>927</v>
      </c>
      <c r="C884" t="s">
        <v>465</v>
      </c>
      <c r="D884">
        <v>1</v>
      </c>
      <c r="E884" s="27">
        <v>44.16</v>
      </c>
      <c r="F884" s="28">
        <v>0</v>
      </c>
      <c r="G884" s="27">
        <v>44.16</v>
      </c>
      <c r="H884" s="27">
        <v>8.83</v>
      </c>
      <c r="I884" s="27">
        <v>52.99</v>
      </c>
      <c r="J884" s="29" cm="1">
        <f t="array" ref="J884">INDEX(Commandes!$B$2:$B$421,MATCH(B884,Commandes!$A$2:$A$421,0))</f>
        <v>45308</v>
      </c>
    </row>
    <row r="885" spans="1:10">
      <c r="A885" t="s">
        <v>1853</v>
      </c>
      <c r="B885" t="s">
        <v>928</v>
      </c>
      <c r="C885" t="s">
        <v>467</v>
      </c>
      <c r="D885">
        <v>2</v>
      </c>
      <c r="E885" s="27">
        <v>49.53</v>
      </c>
      <c r="F885" s="28">
        <v>0</v>
      </c>
      <c r="G885" s="27">
        <v>99.06</v>
      </c>
      <c r="H885" s="27">
        <v>19.81</v>
      </c>
      <c r="I885" s="27">
        <v>118.87</v>
      </c>
      <c r="J885" s="29" cm="1">
        <f t="array" ref="J885">INDEX(Commandes!$B$2:$B$421,MATCH(B885,Commandes!$A$2:$A$421,0))</f>
        <v>45947</v>
      </c>
    </row>
    <row r="886" spans="1:10">
      <c r="A886" t="s">
        <v>1854</v>
      </c>
      <c r="B886" t="s">
        <v>928</v>
      </c>
      <c r="C886" t="s">
        <v>456</v>
      </c>
      <c r="D886">
        <v>3</v>
      </c>
      <c r="E886" s="27">
        <v>62.13</v>
      </c>
      <c r="F886" s="28">
        <v>0</v>
      </c>
      <c r="G886" s="27">
        <v>186.39</v>
      </c>
      <c r="H886" s="27">
        <v>37.28</v>
      </c>
      <c r="I886" s="27">
        <v>223.67</v>
      </c>
      <c r="J886" s="29" cm="1">
        <f t="array" ref="J886">INDEX(Commandes!$B$2:$B$421,MATCH(B886,Commandes!$A$2:$A$421,0))</f>
        <v>45947</v>
      </c>
    </row>
    <row r="887" spans="1:10">
      <c r="A887" t="s">
        <v>1855</v>
      </c>
      <c r="B887" t="s">
        <v>929</v>
      </c>
      <c r="C887" t="s">
        <v>444</v>
      </c>
      <c r="D887">
        <v>2</v>
      </c>
      <c r="E887" s="27">
        <v>442.3</v>
      </c>
      <c r="F887" s="28">
        <v>0.05</v>
      </c>
      <c r="G887" s="27">
        <v>840.37</v>
      </c>
      <c r="H887" s="27">
        <v>168.07</v>
      </c>
      <c r="I887" s="27">
        <v>1008.44</v>
      </c>
      <c r="J887" s="29" cm="1">
        <f t="array" ref="J887">INDEX(Commandes!$B$2:$B$421,MATCH(B887,Commandes!$A$2:$A$421,0))</f>
        <v>45648</v>
      </c>
    </row>
    <row r="888" spans="1:10">
      <c r="A888" t="s">
        <v>1856</v>
      </c>
      <c r="B888" t="s">
        <v>929</v>
      </c>
      <c r="C888" t="s">
        <v>475</v>
      </c>
      <c r="D888">
        <v>2</v>
      </c>
      <c r="E888" s="27">
        <v>42</v>
      </c>
      <c r="F888" s="28">
        <v>0</v>
      </c>
      <c r="G888" s="27">
        <v>84</v>
      </c>
      <c r="H888" s="27">
        <v>16.8</v>
      </c>
      <c r="I888" s="27">
        <v>100.8</v>
      </c>
      <c r="J888" s="29" cm="1">
        <f t="array" ref="J888">INDEX(Commandes!$B$2:$B$421,MATCH(B888,Commandes!$A$2:$A$421,0))</f>
        <v>45648</v>
      </c>
    </row>
    <row r="889" spans="1:10">
      <c r="A889" t="s">
        <v>1857</v>
      </c>
      <c r="B889" t="s">
        <v>929</v>
      </c>
      <c r="C889" t="s">
        <v>408</v>
      </c>
      <c r="D889">
        <v>1</v>
      </c>
      <c r="E889" s="27">
        <v>19.65</v>
      </c>
      <c r="F889" s="28">
        <v>0</v>
      </c>
      <c r="G889" s="27">
        <v>19.65</v>
      </c>
      <c r="H889" s="27">
        <v>3.93</v>
      </c>
      <c r="I889" s="27">
        <v>23.58</v>
      </c>
      <c r="J889" s="29" cm="1">
        <f t="array" ref="J889">INDEX(Commandes!$B$2:$B$421,MATCH(B889,Commandes!$A$2:$A$421,0))</f>
        <v>45648</v>
      </c>
    </row>
    <row r="890" spans="1:10">
      <c r="A890" t="s">
        <v>1858</v>
      </c>
      <c r="B890" t="s">
        <v>929</v>
      </c>
      <c r="C890" t="s">
        <v>391</v>
      </c>
      <c r="D890">
        <v>2</v>
      </c>
      <c r="E890" s="27">
        <v>138.13</v>
      </c>
      <c r="F890" s="28">
        <v>0.05</v>
      </c>
      <c r="G890" s="27">
        <v>262.45</v>
      </c>
      <c r="H890" s="27">
        <v>52.49</v>
      </c>
      <c r="I890" s="27">
        <v>314.94</v>
      </c>
      <c r="J890" s="29" cm="1">
        <f t="array" ref="J890">INDEX(Commandes!$B$2:$B$421,MATCH(B890,Commandes!$A$2:$A$421,0))</f>
        <v>45648</v>
      </c>
    </row>
    <row r="891" spans="1:10">
      <c r="A891" t="s">
        <v>1859</v>
      </c>
      <c r="B891" t="s">
        <v>930</v>
      </c>
      <c r="C891" t="s">
        <v>406</v>
      </c>
      <c r="D891">
        <v>1</v>
      </c>
      <c r="E891" s="27">
        <v>18.86</v>
      </c>
      <c r="F891" s="28">
        <v>0.05</v>
      </c>
      <c r="G891" s="27">
        <v>17.92</v>
      </c>
      <c r="H891" s="27">
        <v>3.58</v>
      </c>
      <c r="I891" s="27">
        <v>21.5</v>
      </c>
      <c r="J891" s="29" cm="1">
        <f t="array" ref="J891">INDEX(Commandes!$B$2:$B$421,MATCH(B891,Commandes!$A$2:$A$421,0))</f>
        <v>45801</v>
      </c>
    </row>
    <row r="892" spans="1:10">
      <c r="A892" t="s">
        <v>1860</v>
      </c>
      <c r="B892" t="s">
        <v>931</v>
      </c>
      <c r="C892" t="s">
        <v>377</v>
      </c>
      <c r="D892">
        <v>4</v>
      </c>
      <c r="E892" s="27">
        <v>84.94</v>
      </c>
      <c r="F892" s="28">
        <v>0.15</v>
      </c>
      <c r="G892" s="27">
        <v>288.8</v>
      </c>
      <c r="H892" s="27">
        <v>57.76</v>
      </c>
      <c r="I892" s="27">
        <v>346.56</v>
      </c>
      <c r="J892" s="29" cm="1">
        <f t="array" ref="J892">INDEX(Commandes!$B$2:$B$421,MATCH(B892,Commandes!$A$2:$A$421,0))</f>
        <v>45336</v>
      </c>
    </row>
    <row r="893" spans="1:10">
      <c r="A893" t="s">
        <v>1861</v>
      </c>
      <c r="B893" t="s">
        <v>931</v>
      </c>
      <c r="C893" t="s">
        <v>431</v>
      </c>
      <c r="D893">
        <v>2</v>
      </c>
      <c r="E893" s="27">
        <v>47.74</v>
      </c>
      <c r="F893" s="28">
        <v>0</v>
      </c>
      <c r="G893" s="27">
        <v>95.48</v>
      </c>
      <c r="H893" s="27">
        <v>19.1</v>
      </c>
      <c r="I893" s="27">
        <v>114.58</v>
      </c>
      <c r="J893" s="29" cm="1">
        <f t="array" ref="J893">INDEX(Commandes!$B$2:$B$421,MATCH(B893,Commandes!$A$2:$A$421,0))</f>
        <v>45336</v>
      </c>
    </row>
    <row r="894" spans="1:10">
      <c r="A894" t="s">
        <v>1862</v>
      </c>
      <c r="B894" t="s">
        <v>932</v>
      </c>
      <c r="C894" t="s">
        <v>471</v>
      </c>
      <c r="D894">
        <v>1</v>
      </c>
      <c r="E894" s="27">
        <v>35.83</v>
      </c>
      <c r="F894" s="28">
        <v>0</v>
      </c>
      <c r="G894" s="27">
        <v>35.83</v>
      </c>
      <c r="H894" s="27">
        <v>7.17</v>
      </c>
      <c r="I894" s="27">
        <v>43</v>
      </c>
      <c r="J894" s="29" cm="1">
        <f t="array" ref="J894">INDEX(Commandes!$B$2:$B$421,MATCH(B894,Commandes!$A$2:$A$421,0))</f>
        <v>45721</v>
      </c>
    </row>
    <row r="895" spans="1:10">
      <c r="A895" t="s">
        <v>1863</v>
      </c>
      <c r="B895" t="s">
        <v>933</v>
      </c>
      <c r="C895" t="s">
        <v>391</v>
      </c>
      <c r="D895">
        <v>1</v>
      </c>
      <c r="E895" s="27">
        <v>138.13</v>
      </c>
      <c r="F895" s="28">
        <v>0.1</v>
      </c>
      <c r="G895" s="27">
        <v>124.32</v>
      </c>
      <c r="H895" s="27">
        <v>24.86</v>
      </c>
      <c r="I895" s="27">
        <v>149.18</v>
      </c>
      <c r="J895" s="29" cm="1">
        <f t="array" ref="J895">INDEX(Commandes!$B$2:$B$421,MATCH(B895,Commandes!$A$2:$A$421,0))</f>
        <v>45676</v>
      </c>
    </row>
    <row r="896" spans="1:10">
      <c r="A896" t="s">
        <v>1864</v>
      </c>
      <c r="B896" t="s">
        <v>933</v>
      </c>
      <c r="C896" t="s">
        <v>433</v>
      </c>
      <c r="D896">
        <v>1</v>
      </c>
      <c r="E896" s="27">
        <v>58.14</v>
      </c>
      <c r="F896" s="28">
        <v>0</v>
      </c>
      <c r="G896" s="27">
        <v>58.14</v>
      </c>
      <c r="H896" s="27">
        <v>11.63</v>
      </c>
      <c r="I896" s="27">
        <v>69.77</v>
      </c>
      <c r="J896" s="29" cm="1">
        <f t="array" ref="J896">INDEX(Commandes!$B$2:$B$421,MATCH(B896,Commandes!$A$2:$A$421,0))</f>
        <v>45676</v>
      </c>
    </row>
    <row r="897" spans="1:10">
      <c r="A897" t="s">
        <v>1865</v>
      </c>
      <c r="B897" t="s">
        <v>933</v>
      </c>
      <c r="C897" t="s">
        <v>389</v>
      </c>
      <c r="D897">
        <v>2</v>
      </c>
      <c r="E897" s="27">
        <v>120.37</v>
      </c>
      <c r="F897" s="28">
        <v>0</v>
      </c>
      <c r="G897" s="27">
        <v>240.74</v>
      </c>
      <c r="H897" s="27">
        <v>48.15</v>
      </c>
      <c r="I897" s="27">
        <v>288.89</v>
      </c>
      <c r="J897" s="29" cm="1">
        <f t="array" ref="J897">INDEX(Commandes!$B$2:$B$421,MATCH(B897,Commandes!$A$2:$A$421,0))</f>
        <v>45676</v>
      </c>
    </row>
    <row r="898" spans="1:10">
      <c r="A898" t="s">
        <v>1866</v>
      </c>
      <c r="B898" t="s">
        <v>933</v>
      </c>
      <c r="C898" t="s">
        <v>456</v>
      </c>
      <c r="D898">
        <v>1</v>
      </c>
      <c r="E898" s="27">
        <v>62.13</v>
      </c>
      <c r="F898" s="28">
        <v>0</v>
      </c>
      <c r="G898" s="27">
        <v>62.13</v>
      </c>
      <c r="H898" s="27">
        <v>12.43</v>
      </c>
      <c r="I898" s="27">
        <v>74.56</v>
      </c>
      <c r="J898" s="29" cm="1">
        <f t="array" ref="J898">INDEX(Commandes!$B$2:$B$421,MATCH(B898,Commandes!$A$2:$A$421,0))</f>
        <v>45676</v>
      </c>
    </row>
    <row r="899" spans="1:10">
      <c r="A899" t="s">
        <v>1867</v>
      </c>
      <c r="B899" t="s">
        <v>934</v>
      </c>
      <c r="C899" t="s">
        <v>433</v>
      </c>
      <c r="D899">
        <v>2</v>
      </c>
      <c r="E899" s="27">
        <v>58.14</v>
      </c>
      <c r="F899" s="28">
        <v>0</v>
      </c>
      <c r="G899" s="27">
        <v>116.28</v>
      </c>
      <c r="H899" s="27">
        <v>23.26</v>
      </c>
      <c r="I899" s="27">
        <v>139.54</v>
      </c>
      <c r="J899" s="29" cm="1">
        <f t="array" ref="J899">INDEX(Commandes!$B$2:$B$421,MATCH(B899,Commandes!$A$2:$A$421,0))</f>
        <v>45499</v>
      </c>
    </row>
    <row r="900" spans="1:10">
      <c r="A900" t="s">
        <v>1868</v>
      </c>
      <c r="B900" t="s">
        <v>935</v>
      </c>
      <c r="C900" t="s">
        <v>442</v>
      </c>
      <c r="D900">
        <v>2</v>
      </c>
      <c r="E900" s="27">
        <v>374.59</v>
      </c>
      <c r="F900" s="28">
        <v>0</v>
      </c>
      <c r="G900" s="27">
        <v>749.18</v>
      </c>
      <c r="H900" s="27">
        <v>149.84</v>
      </c>
      <c r="I900" s="27">
        <v>899.02</v>
      </c>
      <c r="J900" s="29" cm="1">
        <f t="array" ref="J900">INDEX(Commandes!$B$2:$B$421,MATCH(B900,Commandes!$A$2:$A$421,0))</f>
        <v>45643</v>
      </c>
    </row>
    <row r="901" spans="1:10">
      <c r="A901" t="s">
        <v>1869</v>
      </c>
      <c r="B901" t="s">
        <v>936</v>
      </c>
      <c r="C901" t="s">
        <v>429</v>
      </c>
      <c r="D901">
        <v>2</v>
      </c>
      <c r="E901" s="27">
        <v>32.75</v>
      </c>
      <c r="F901" s="28">
        <v>0.1</v>
      </c>
      <c r="G901" s="27">
        <v>58.95</v>
      </c>
      <c r="H901" s="27">
        <v>11.79</v>
      </c>
      <c r="I901" s="27">
        <v>70.74</v>
      </c>
      <c r="J901" s="29" cm="1">
        <f t="array" ref="J901">INDEX(Commandes!$B$2:$B$421,MATCH(B901,Commandes!$A$2:$A$421,0))</f>
        <v>45897</v>
      </c>
    </row>
    <row r="902" spans="1:10">
      <c r="A902" t="s">
        <v>1870</v>
      </c>
      <c r="B902" t="s">
        <v>937</v>
      </c>
      <c r="C902" t="s">
        <v>469</v>
      </c>
      <c r="D902">
        <v>3</v>
      </c>
      <c r="E902" s="27">
        <v>30.71</v>
      </c>
      <c r="F902" s="28">
        <v>0</v>
      </c>
      <c r="G902" s="27">
        <v>92.13</v>
      </c>
      <c r="H902" s="27">
        <v>18.43</v>
      </c>
      <c r="I902" s="27">
        <v>110.56</v>
      </c>
      <c r="J902" s="29" cm="1">
        <f t="array" ref="J902">INDEX(Commandes!$B$2:$B$421,MATCH(B902,Commandes!$A$2:$A$421,0))</f>
        <v>45444</v>
      </c>
    </row>
    <row r="903" spans="1:10">
      <c r="A903" t="s">
        <v>1871</v>
      </c>
      <c r="B903" t="s">
        <v>937</v>
      </c>
      <c r="C903" t="s">
        <v>429</v>
      </c>
      <c r="D903">
        <v>2</v>
      </c>
      <c r="E903" s="27">
        <v>32.75</v>
      </c>
      <c r="F903" s="28">
        <v>0.05</v>
      </c>
      <c r="G903" s="27">
        <v>62.22</v>
      </c>
      <c r="H903" s="27">
        <v>12.44</v>
      </c>
      <c r="I903" s="27">
        <v>74.66</v>
      </c>
      <c r="J903" s="29" cm="1">
        <f t="array" ref="J903">INDEX(Commandes!$B$2:$B$421,MATCH(B903,Commandes!$A$2:$A$421,0))</f>
        <v>45444</v>
      </c>
    </row>
    <row r="904" spans="1:10">
      <c r="A904" t="s">
        <v>1872</v>
      </c>
      <c r="B904" t="s">
        <v>937</v>
      </c>
      <c r="C904" t="s">
        <v>465</v>
      </c>
      <c r="D904">
        <v>3</v>
      </c>
      <c r="E904" s="27">
        <v>44.16</v>
      </c>
      <c r="F904" s="28">
        <v>0.05</v>
      </c>
      <c r="G904" s="27">
        <v>125.86</v>
      </c>
      <c r="H904" s="27">
        <v>25.17</v>
      </c>
      <c r="I904" s="27">
        <v>151.03</v>
      </c>
      <c r="J904" s="29" cm="1">
        <f t="array" ref="J904">INDEX(Commandes!$B$2:$B$421,MATCH(B904,Commandes!$A$2:$A$421,0))</f>
        <v>45444</v>
      </c>
    </row>
    <row r="905" spans="1:10">
      <c r="A905" t="s">
        <v>1873</v>
      </c>
      <c r="B905" t="s">
        <v>937</v>
      </c>
      <c r="C905" t="s">
        <v>438</v>
      </c>
      <c r="D905">
        <v>1</v>
      </c>
      <c r="E905" s="27">
        <v>295.97</v>
      </c>
      <c r="F905" s="28">
        <v>0.1</v>
      </c>
      <c r="G905" s="27">
        <v>266.37</v>
      </c>
      <c r="H905" s="27">
        <v>53.27</v>
      </c>
      <c r="I905" s="27">
        <v>319.64</v>
      </c>
      <c r="J905" s="29" cm="1">
        <f t="array" ref="J905">INDEX(Commandes!$B$2:$B$421,MATCH(B905,Commandes!$A$2:$A$421,0))</f>
        <v>45444</v>
      </c>
    </row>
    <row r="906" spans="1:10">
      <c r="A906" t="s">
        <v>1874</v>
      </c>
      <c r="B906" t="s">
        <v>937</v>
      </c>
      <c r="C906" t="s">
        <v>473</v>
      </c>
      <c r="D906">
        <v>1</v>
      </c>
      <c r="E906" s="27">
        <v>40.73</v>
      </c>
      <c r="F906" s="28">
        <v>0.15</v>
      </c>
      <c r="G906" s="27">
        <v>34.62</v>
      </c>
      <c r="H906" s="27">
        <v>6.92</v>
      </c>
      <c r="I906" s="27">
        <v>41.54</v>
      </c>
      <c r="J906" s="29" cm="1">
        <f t="array" ref="J906">INDEX(Commandes!$B$2:$B$421,MATCH(B906,Commandes!$A$2:$A$421,0))</f>
        <v>45444</v>
      </c>
    </row>
    <row r="907" spans="1:10">
      <c r="A907" t="s">
        <v>1875</v>
      </c>
      <c r="B907" t="s">
        <v>938</v>
      </c>
      <c r="C907" t="s">
        <v>412</v>
      </c>
      <c r="D907">
        <v>1</v>
      </c>
      <c r="E907" s="27">
        <v>114.1</v>
      </c>
      <c r="F907" s="28">
        <v>0.05</v>
      </c>
      <c r="G907" s="27">
        <v>108.39</v>
      </c>
      <c r="H907" s="27">
        <v>21.68</v>
      </c>
      <c r="I907" s="27">
        <v>130.07</v>
      </c>
      <c r="J907" s="29" cm="1">
        <f t="array" ref="J907">INDEX(Commandes!$B$2:$B$421,MATCH(B907,Commandes!$A$2:$A$421,0))</f>
        <v>45708</v>
      </c>
    </row>
    <row r="908" spans="1:10">
      <c r="A908" t="s">
        <v>1876</v>
      </c>
      <c r="B908" t="s">
        <v>938</v>
      </c>
      <c r="C908" t="s">
        <v>448</v>
      </c>
      <c r="D908">
        <v>3</v>
      </c>
      <c r="E908" s="27">
        <v>543.43</v>
      </c>
      <c r="F908" s="28">
        <v>0</v>
      </c>
      <c r="G908" s="27">
        <v>1630.29</v>
      </c>
      <c r="H908" s="27">
        <v>326.06</v>
      </c>
      <c r="I908" s="27">
        <v>1956.35</v>
      </c>
      <c r="J908" s="29" cm="1">
        <f t="array" ref="J908">INDEX(Commandes!$B$2:$B$421,MATCH(B908,Commandes!$A$2:$A$421,0))</f>
        <v>45708</v>
      </c>
    </row>
    <row r="909" spans="1:10">
      <c r="A909" t="s">
        <v>1877</v>
      </c>
      <c r="B909" t="s">
        <v>939</v>
      </c>
      <c r="C909" t="s">
        <v>366</v>
      </c>
      <c r="D909">
        <v>4</v>
      </c>
      <c r="E909" s="27">
        <v>1103.64</v>
      </c>
      <c r="F909" s="28">
        <v>0</v>
      </c>
      <c r="G909" s="27">
        <v>4414.56</v>
      </c>
      <c r="H909" s="27">
        <v>882.91</v>
      </c>
      <c r="I909" s="27">
        <v>5297.47</v>
      </c>
      <c r="J909" s="29" cm="1">
        <f t="array" ref="J909">INDEX(Commandes!$B$2:$B$421,MATCH(B909,Commandes!$A$2:$A$421,0))</f>
        <v>45757</v>
      </c>
    </row>
    <row r="910" spans="1:10">
      <c r="A910" t="s">
        <v>1878</v>
      </c>
      <c r="B910" t="s">
        <v>939</v>
      </c>
      <c r="C910" t="s">
        <v>423</v>
      </c>
      <c r="D910">
        <v>4</v>
      </c>
      <c r="E910" s="27">
        <v>46.02</v>
      </c>
      <c r="F910" s="28">
        <v>0</v>
      </c>
      <c r="G910" s="27">
        <v>184.08</v>
      </c>
      <c r="H910" s="27">
        <v>36.82</v>
      </c>
      <c r="I910" s="27">
        <v>220.9</v>
      </c>
      <c r="J910" s="29" cm="1">
        <f t="array" ref="J910">INDEX(Commandes!$B$2:$B$421,MATCH(B910,Commandes!$A$2:$A$421,0))</f>
        <v>45757</v>
      </c>
    </row>
    <row r="911" spans="1:10">
      <c r="A911" t="s">
        <v>1879</v>
      </c>
      <c r="B911" t="s">
        <v>939</v>
      </c>
      <c r="C911" t="s">
        <v>442</v>
      </c>
      <c r="D911">
        <v>1</v>
      </c>
      <c r="E911" s="27">
        <v>374.59</v>
      </c>
      <c r="F911" s="28">
        <v>0.05</v>
      </c>
      <c r="G911" s="27">
        <v>355.86</v>
      </c>
      <c r="H911" s="27">
        <v>71.17</v>
      </c>
      <c r="I911" s="27">
        <v>427.03</v>
      </c>
      <c r="J911" s="29" cm="1">
        <f t="array" ref="J911">INDEX(Commandes!$B$2:$B$421,MATCH(B911,Commandes!$A$2:$A$421,0))</f>
        <v>45757</v>
      </c>
    </row>
    <row r="912" spans="1:10">
      <c r="A912" t="s">
        <v>1880</v>
      </c>
      <c r="B912" t="s">
        <v>940</v>
      </c>
      <c r="C912" t="s">
        <v>374</v>
      </c>
      <c r="D912">
        <v>2</v>
      </c>
      <c r="E912" s="27">
        <v>251.56</v>
      </c>
      <c r="F912" s="28">
        <v>0.15</v>
      </c>
      <c r="G912" s="27">
        <v>427.65</v>
      </c>
      <c r="H912" s="27">
        <v>85.53</v>
      </c>
      <c r="I912" s="27">
        <v>513.18</v>
      </c>
      <c r="J912" s="29" cm="1">
        <f t="array" ref="J912">INDEX(Commandes!$B$2:$B$421,MATCH(B912,Commandes!$A$2:$A$421,0))</f>
        <v>45568</v>
      </c>
    </row>
    <row r="913" spans="1:10">
      <c r="A913" t="s">
        <v>1881</v>
      </c>
      <c r="B913" t="s">
        <v>940</v>
      </c>
      <c r="C913" t="s">
        <v>421</v>
      </c>
      <c r="D913">
        <v>4</v>
      </c>
      <c r="E913" s="27">
        <v>78.78</v>
      </c>
      <c r="F913" s="28">
        <v>0</v>
      </c>
      <c r="G913" s="27">
        <v>315.12</v>
      </c>
      <c r="H913" s="27">
        <v>63.02</v>
      </c>
      <c r="I913" s="27">
        <v>378.14</v>
      </c>
      <c r="J913" s="29" cm="1">
        <f t="array" ref="J913">INDEX(Commandes!$B$2:$B$421,MATCH(B913,Commandes!$A$2:$A$421,0))</f>
        <v>45568</v>
      </c>
    </row>
    <row r="914" spans="1:10">
      <c r="A914" t="s">
        <v>1882</v>
      </c>
      <c r="B914" t="s">
        <v>940</v>
      </c>
      <c r="C914" t="s">
        <v>423</v>
      </c>
      <c r="D914">
        <v>1</v>
      </c>
      <c r="E914" s="27">
        <v>46.02</v>
      </c>
      <c r="F914" s="28">
        <v>0.1</v>
      </c>
      <c r="G914" s="27">
        <v>41.42</v>
      </c>
      <c r="H914" s="27">
        <v>8.28</v>
      </c>
      <c r="I914" s="27">
        <v>49.7</v>
      </c>
      <c r="J914" s="29" cm="1">
        <f t="array" ref="J914">INDEX(Commandes!$B$2:$B$421,MATCH(B914,Commandes!$A$2:$A$421,0))</f>
        <v>45568</v>
      </c>
    </row>
    <row r="915" spans="1:10">
      <c r="A915" t="s">
        <v>1883</v>
      </c>
      <c r="B915" t="s">
        <v>941</v>
      </c>
      <c r="C915" t="s">
        <v>417</v>
      </c>
      <c r="D915">
        <v>1</v>
      </c>
      <c r="E915" s="27">
        <v>59.79</v>
      </c>
      <c r="F915" s="28">
        <v>0</v>
      </c>
      <c r="G915" s="27">
        <v>59.79</v>
      </c>
      <c r="H915" s="27">
        <v>11.96</v>
      </c>
      <c r="I915" s="27">
        <v>71.75</v>
      </c>
      <c r="J915" s="29" cm="1">
        <f t="array" ref="J915">INDEX(Commandes!$B$2:$B$421,MATCH(B915,Commandes!$A$2:$A$421,0))</f>
        <v>45333</v>
      </c>
    </row>
    <row r="916" spans="1:10">
      <c r="A916" t="s">
        <v>1884</v>
      </c>
      <c r="B916" t="s">
        <v>942</v>
      </c>
      <c r="C916" t="s">
        <v>408</v>
      </c>
      <c r="D916">
        <v>2</v>
      </c>
      <c r="E916" s="27">
        <v>19.65</v>
      </c>
      <c r="F916" s="28">
        <v>0.05</v>
      </c>
      <c r="G916" s="27">
        <v>37.33</v>
      </c>
      <c r="H916" s="27">
        <v>7.47</v>
      </c>
      <c r="I916" s="27">
        <v>44.8</v>
      </c>
      <c r="J916" s="29" cm="1">
        <f t="array" ref="J916">INDEX(Commandes!$B$2:$B$421,MATCH(B916,Commandes!$A$2:$A$421,0))</f>
        <v>45956</v>
      </c>
    </row>
    <row r="917" spans="1:10">
      <c r="A917" t="s">
        <v>1885</v>
      </c>
      <c r="B917" t="s">
        <v>942</v>
      </c>
      <c r="C917" t="s">
        <v>408</v>
      </c>
      <c r="D917">
        <v>1</v>
      </c>
      <c r="E917" s="27">
        <v>19.65</v>
      </c>
      <c r="F917" s="28">
        <v>0</v>
      </c>
      <c r="G917" s="27">
        <v>19.65</v>
      </c>
      <c r="H917" s="27">
        <v>3.93</v>
      </c>
      <c r="I917" s="27">
        <v>23.58</v>
      </c>
      <c r="J917" s="29" cm="1">
        <f t="array" ref="J917">INDEX(Commandes!$B$2:$B$421,MATCH(B917,Commandes!$A$2:$A$421,0))</f>
        <v>45956</v>
      </c>
    </row>
    <row r="918" spans="1:10">
      <c r="A918" t="s">
        <v>1886</v>
      </c>
      <c r="B918" t="s">
        <v>943</v>
      </c>
      <c r="C918" t="s">
        <v>463</v>
      </c>
      <c r="D918">
        <v>5</v>
      </c>
      <c r="E918" s="27">
        <v>73.02</v>
      </c>
      <c r="F918" s="28">
        <v>0</v>
      </c>
      <c r="G918" s="27">
        <v>365.1</v>
      </c>
      <c r="H918" s="27">
        <v>73.02</v>
      </c>
      <c r="I918" s="27">
        <v>438.12</v>
      </c>
      <c r="J918" s="29" cm="1">
        <f t="array" ref="J918">INDEX(Commandes!$B$2:$B$421,MATCH(B918,Commandes!$A$2:$A$421,0))</f>
        <v>45645</v>
      </c>
    </row>
    <row r="919" spans="1:10">
      <c r="A919" t="s">
        <v>1887</v>
      </c>
      <c r="B919" t="s">
        <v>943</v>
      </c>
      <c r="C919" t="s">
        <v>398</v>
      </c>
      <c r="D919">
        <v>4</v>
      </c>
      <c r="E919" s="27">
        <v>383.91</v>
      </c>
      <c r="F919" s="28">
        <v>0.05</v>
      </c>
      <c r="G919" s="27">
        <v>1458.86</v>
      </c>
      <c r="H919" s="27">
        <v>291.77</v>
      </c>
      <c r="I919" s="27">
        <v>1750.63</v>
      </c>
      <c r="J919" s="29" cm="1">
        <f t="array" ref="J919">INDEX(Commandes!$B$2:$B$421,MATCH(B919,Commandes!$A$2:$A$421,0))</f>
        <v>45645</v>
      </c>
    </row>
    <row r="920" spans="1:10">
      <c r="A920" t="s">
        <v>1888</v>
      </c>
      <c r="B920" t="s">
        <v>944</v>
      </c>
      <c r="C920" t="s">
        <v>387</v>
      </c>
      <c r="D920">
        <v>2</v>
      </c>
      <c r="E920" s="27">
        <v>37.91</v>
      </c>
      <c r="F920" s="28">
        <v>0.05</v>
      </c>
      <c r="G920" s="27">
        <v>72.03</v>
      </c>
      <c r="H920" s="27">
        <v>14.41</v>
      </c>
      <c r="I920" s="27">
        <v>86.44</v>
      </c>
      <c r="J920" s="29" cm="1">
        <f t="array" ref="J920">INDEX(Commandes!$B$2:$B$421,MATCH(B920,Commandes!$A$2:$A$421,0))</f>
        <v>45381</v>
      </c>
    </row>
    <row r="921" spans="1:10">
      <c r="A921" t="s">
        <v>1889</v>
      </c>
      <c r="B921" t="s">
        <v>945</v>
      </c>
      <c r="C921" t="s">
        <v>431</v>
      </c>
      <c r="D921">
        <v>3</v>
      </c>
      <c r="E921" s="27">
        <v>47.74</v>
      </c>
      <c r="F921" s="28">
        <v>0</v>
      </c>
      <c r="G921" s="27">
        <v>143.22</v>
      </c>
      <c r="H921" s="27">
        <v>28.64</v>
      </c>
      <c r="I921" s="27">
        <v>171.86</v>
      </c>
      <c r="J921" s="29" cm="1">
        <f t="array" ref="J921">INDEX(Commandes!$B$2:$B$421,MATCH(B921,Commandes!$A$2:$A$421,0))</f>
        <v>45446</v>
      </c>
    </row>
    <row r="922" spans="1:10">
      <c r="A922" t="s">
        <v>1890</v>
      </c>
      <c r="B922" t="s">
        <v>945</v>
      </c>
      <c r="C922" t="s">
        <v>410</v>
      </c>
      <c r="D922">
        <v>1</v>
      </c>
      <c r="E922" s="27">
        <v>106.93</v>
      </c>
      <c r="F922" s="28">
        <v>0</v>
      </c>
      <c r="G922" s="27">
        <v>106.93</v>
      </c>
      <c r="H922" s="27">
        <v>21.39</v>
      </c>
      <c r="I922" s="27">
        <v>128.32</v>
      </c>
      <c r="J922" s="29" cm="1">
        <f t="array" ref="J922">INDEX(Commandes!$B$2:$B$421,MATCH(B922,Commandes!$A$2:$A$421,0))</f>
        <v>45446</v>
      </c>
    </row>
    <row r="923" spans="1:10">
      <c r="A923" t="s">
        <v>1891</v>
      </c>
      <c r="B923" t="s">
        <v>946</v>
      </c>
      <c r="C923" t="s">
        <v>461</v>
      </c>
      <c r="D923">
        <v>2</v>
      </c>
      <c r="E923" s="27">
        <v>59.83</v>
      </c>
      <c r="F923" s="28">
        <v>0.1</v>
      </c>
      <c r="G923" s="27">
        <v>107.69</v>
      </c>
      <c r="H923" s="27">
        <v>21.54</v>
      </c>
      <c r="I923" s="27">
        <v>129.23</v>
      </c>
      <c r="J923" s="29" cm="1">
        <f t="array" ref="J923">INDEX(Commandes!$B$2:$B$421,MATCH(B923,Commandes!$A$2:$A$421,0))</f>
        <v>45529</v>
      </c>
    </row>
    <row r="924" spans="1:10">
      <c r="A924" t="s">
        <v>1892</v>
      </c>
      <c r="B924" t="s">
        <v>946</v>
      </c>
      <c r="C924" t="s">
        <v>431</v>
      </c>
      <c r="D924">
        <v>2</v>
      </c>
      <c r="E924" s="27">
        <v>47.74</v>
      </c>
      <c r="F924" s="28">
        <v>0.1</v>
      </c>
      <c r="G924" s="27">
        <v>85.93</v>
      </c>
      <c r="H924" s="27">
        <v>17.19</v>
      </c>
      <c r="I924" s="27">
        <v>103.12</v>
      </c>
      <c r="J924" s="29" cm="1">
        <f t="array" ref="J924">INDEX(Commandes!$B$2:$B$421,MATCH(B924,Commandes!$A$2:$A$421,0))</f>
        <v>45529</v>
      </c>
    </row>
    <row r="925" spans="1:10">
      <c r="A925" t="s">
        <v>1893</v>
      </c>
      <c r="B925" t="s">
        <v>947</v>
      </c>
      <c r="C925" t="s">
        <v>410</v>
      </c>
      <c r="D925">
        <v>3</v>
      </c>
      <c r="E925" s="27">
        <v>106.93</v>
      </c>
      <c r="F925" s="28">
        <v>0</v>
      </c>
      <c r="G925" s="27">
        <v>320.79</v>
      </c>
      <c r="H925" s="27">
        <v>64.16</v>
      </c>
      <c r="I925" s="27">
        <v>384.95</v>
      </c>
      <c r="J925" s="29" cm="1">
        <f t="array" ref="J925">INDEX(Commandes!$B$2:$B$421,MATCH(B925,Commandes!$A$2:$A$421,0))</f>
        <v>45427</v>
      </c>
    </row>
    <row r="926" spans="1:10">
      <c r="A926" t="s">
        <v>1894</v>
      </c>
      <c r="B926" t="s">
        <v>947</v>
      </c>
      <c r="C926" t="s">
        <v>391</v>
      </c>
      <c r="D926">
        <v>1</v>
      </c>
      <c r="E926" s="27">
        <v>138.13</v>
      </c>
      <c r="F926" s="28">
        <v>0.05</v>
      </c>
      <c r="G926" s="27">
        <v>131.22</v>
      </c>
      <c r="H926" s="27">
        <v>26.24</v>
      </c>
      <c r="I926" s="27">
        <v>157.46</v>
      </c>
      <c r="J926" s="29" cm="1">
        <f t="array" ref="J926">INDEX(Commandes!$B$2:$B$421,MATCH(B926,Commandes!$A$2:$A$421,0))</f>
        <v>45427</v>
      </c>
    </row>
    <row r="927" spans="1:10">
      <c r="A927" t="s">
        <v>1895</v>
      </c>
      <c r="B927" t="s">
        <v>948</v>
      </c>
      <c r="C927" t="s">
        <v>387</v>
      </c>
      <c r="D927">
        <v>1</v>
      </c>
      <c r="E927" s="27">
        <v>37.91</v>
      </c>
      <c r="F927" s="28">
        <v>0</v>
      </c>
      <c r="G927" s="27">
        <v>37.91</v>
      </c>
      <c r="H927" s="27">
        <v>7.58</v>
      </c>
      <c r="I927" s="27">
        <v>45.49</v>
      </c>
      <c r="J927" s="29" cm="1">
        <f t="array" ref="J927">INDEX(Commandes!$B$2:$B$421,MATCH(B927,Commandes!$A$2:$A$421,0))</f>
        <v>45462</v>
      </c>
    </row>
    <row r="928" spans="1:10">
      <c r="A928" t="s">
        <v>1896</v>
      </c>
      <c r="B928" t="s">
        <v>949</v>
      </c>
      <c r="C928" t="s">
        <v>419</v>
      </c>
      <c r="D928">
        <v>1</v>
      </c>
      <c r="E928" s="27">
        <v>100.34</v>
      </c>
      <c r="F928" s="28">
        <v>0.05</v>
      </c>
      <c r="G928" s="27">
        <v>95.32</v>
      </c>
      <c r="H928" s="27">
        <v>19.06</v>
      </c>
      <c r="I928" s="27">
        <v>114.38</v>
      </c>
      <c r="J928" s="29" cm="1">
        <f t="array" ref="J928">INDEX(Commandes!$B$2:$B$421,MATCH(B928,Commandes!$A$2:$A$421,0))</f>
        <v>45880</v>
      </c>
    </row>
    <row r="929" spans="1:10">
      <c r="A929" t="s">
        <v>1897</v>
      </c>
      <c r="B929" t="s">
        <v>949</v>
      </c>
      <c r="C929" t="s">
        <v>444</v>
      </c>
      <c r="D929">
        <v>8</v>
      </c>
      <c r="E929" s="27">
        <v>442.3</v>
      </c>
      <c r="F929" s="28">
        <v>0.1</v>
      </c>
      <c r="G929" s="27">
        <v>3184.56</v>
      </c>
      <c r="H929" s="27">
        <v>636.91</v>
      </c>
      <c r="I929" s="27">
        <v>3821.47</v>
      </c>
      <c r="J929" s="29" cm="1">
        <f t="array" ref="J929">INDEX(Commandes!$B$2:$B$421,MATCH(B929,Commandes!$A$2:$A$421,0))</f>
        <v>45880</v>
      </c>
    </row>
    <row r="930" spans="1:10">
      <c r="A930" t="s">
        <v>1898</v>
      </c>
      <c r="B930" t="s">
        <v>949</v>
      </c>
      <c r="C930" t="s">
        <v>412</v>
      </c>
      <c r="D930">
        <v>1</v>
      </c>
      <c r="E930" s="27">
        <v>114.1</v>
      </c>
      <c r="F930" s="28">
        <v>0</v>
      </c>
      <c r="G930" s="27">
        <v>114.1</v>
      </c>
      <c r="H930" s="27">
        <v>22.82</v>
      </c>
      <c r="I930" s="27">
        <v>136.92</v>
      </c>
      <c r="J930" s="29" cm="1">
        <f t="array" ref="J930">INDEX(Commandes!$B$2:$B$421,MATCH(B930,Commandes!$A$2:$A$421,0))</f>
        <v>45880</v>
      </c>
    </row>
    <row r="931" spans="1:10">
      <c r="A931" t="s">
        <v>1899</v>
      </c>
      <c r="B931" t="s">
        <v>950</v>
      </c>
      <c r="C931" t="s">
        <v>471</v>
      </c>
      <c r="D931">
        <v>2</v>
      </c>
      <c r="E931" s="27">
        <v>35.83</v>
      </c>
      <c r="F931" s="28">
        <v>0.1</v>
      </c>
      <c r="G931" s="27">
        <v>64.49</v>
      </c>
      <c r="H931" s="27">
        <v>12.9</v>
      </c>
      <c r="I931" s="27">
        <v>77.39</v>
      </c>
      <c r="J931" s="29" cm="1">
        <f t="array" ref="J931">INDEX(Commandes!$B$2:$B$421,MATCH(B931,Commandes!$A$2:$A$421,0))</f>
        <v>45706</v>
      </c>
    </row>
    <row r="932" spans="1:10">
      <c r="A932" t="s">
        <v>1900</v>
      </c>
      <c r="B932" t="s">
        <v>951</v>
      </c>
      <c r="C932" t="s">
        <v>387</v>
      </c>
      <c r="D932">
        <v>3</v>
      </c>
      <c r="E932" s="27">
        <v>37.91</v>
      </c>
      <c r="F932" s="28">
        <v>0</v>
      </c>
      <c r="G932" s="27">
        <v>113.73</v>
      </c>
      <c r="H932" s="27">
        <v>22.75</v>
      </c>
      <c r="I932" s="27">
        <v>136.48</v>
      </c>
      <c r="J932" s="29" cm="1">
        <f t="array" ref="J932">INDEX(Commandes!$B$2:$B$421,MATCH(B932,Commandes!$A$2:$A$421,0))</f>
        <v>45631</v>
      </c>
    </row>
    <row r="933" spans="1:10">
      <c r="A933" t="s">
        <v>1901</v>
      </c>
      <c r="B933" t="s">
        <v>951</v>
      </c>
      <c r="C933" t="s">
        <v>389</v>
      </c>
      <c r="D933">
        <v>2</v>
      </c>
      <c r="E933" s="27">
        <v>120.37</v>
      </c>
      <c r="F933" s="28">
        <v>0</v>
      </c>
      <c r="G933" s="27">
        <v>240.74</v>
      </c>
      <c r="H933" s="27">
        <v>48.15</v>
      </c>
      <c r="I933" s="27">
        <v>288.89</v>
      </c>
      <c r="J933" s="29" cm="1">
        <f t="array" ref="J933">INDEX(Commandes!$B$2:$B$421,MATCH(B933,Commandes!$A$2:$A$421,0))</f>
        <v>45631</v>
      </c>
    </row>
    <row r="934" spans="1:10">
      <c r="A934" t="s">
        <v>1902</v>
      </c>
      <c r="B934" t="s">
        <v>952</v>
      </c>
      <c r="C934" t="s">
        <v>459</v>
      </c>
      <c r="D934">
        <v>1</v>
      </c>
      <c r="E934" s="27">
        <v>70.8</v>
      </c>
      <c r="F934" s="28">
        <v>0.1</v>
      </c>
      <c r="G934" s="27">
        <v>63.72</v>
      </c>
      <c r="H934" s="27">
        <v>12.74</v>
      </c>
      <c r="I934" s="27">
        <v>76.46</v>
      </c>
      <c r="J934" s="29" cm="1">
        <f t="array" ref="J934">INDEX(Commandes!$B$2:$B$421,MATCH(B934,Commandes!$A$2:$A$421,0))</f>
        <v>45607</v>
      </c>
    </row>
    <row r="935" spans="1:10">
      <c r="A935" t="s">
        <v>1903</v>
      </c>
      <c r="B935" t="s">
        <v>953</v>
      </c>
      <c r="C935" t="s">
        <v>425</v>
      </c>
      <c r="D935">
        <v>1</v>
      </c>
      <c r="E935" s="27">
        <v>36.08</v>
      </c>
      <c r="F935" s="28">
        <v>0</v>
      </c>
      <c r="G935" s="27">
        <v>36.08</v>
      </c>
      <c r="H935" s="27">
        <v>7.22</v>
      </c>
      <c r="I935" s="27">
        <v>43.3</v>
      </c>
      <c r="J935" s="29" cm="1">
        <f t="array" ref="J935">INDEX(Commandes!$B$2:$B$421,MATCH(B935,Commandes!$A$2:$A$421,0))</f>
        <v>45519</v>
      </c>
    </row>
    <row r="936" spans="1:10">
      <c r="A936" t="s">
        <v>1904</v>
      </c>
      <c r="B936" t="s">
        <v>953</v>
      </c>
      <c r="C936" t="s">
        <v>452</v>
      </c>
      <c r="D936">
        <v>2</v>
      </c>
      <c r="E936" s="27">
        <v>381.57</v>
      </c>
      <c r="F936" s="28">
        <v>0</v>
      </c>
      <c r="G936" s="27">
        <v>763.14</v>
      </c>
      <c r="H936" s="27">
        <v>152.63</v>
      </c>
      <c r="I936" s="27">
        <v>915.77</v>
      </c>
      <c r="J936" s="29" cm="1">
        <f t="array" ref="J936">INDEX(Commandes!$B$2:$B$421,MATCH(B936,Commandes!$A$2:$A$421,0))</f>
        <v>45519</v>
      </c>
    </row>
    <row r="937" spans="1:10">
      <c r="A937" t="s">
        <v>1905</v>
      </c>
      <c r="B937" t="s">
        <v>953</v>
      </c>
      <c r="C937" t="s">
        <v>461</v>
      </c>
      <c r="D937">
        <v>1</v>
      </c>
      <c r="E937" s="27">
        <v>59.83</v>
      </c>
      <c r="F937" s="28">
        <v>0</v>
      </c>
      <c r="G937" s="27">
        <v>59.83</v>
      </c>
      <c r="H937" s="27">
        <v>11.97</v>
      </c>
      <c r="I937" s="27">
        <v>71.8</v>
      </c>
      <c r="J937" s="29" cm="1">
        <f t="array" ref="J937">INDEX(Commandes!$B$2:$B$421,MATCH(B937,Commandes!$A$2:$A$421,0))</f>
        <v>45519</v>
      </c>
    </row>
    <row r="938" spans="1:10">
      <c r="A938" t="s">
        <v>1906</v>
      </c>
      <c r="B938" t="s">
        <v>953</v>
      </c>
      <c r="C938" t="s">
        <v>467</v>
      </c>
      <c r="D938">
        <v>4</v>
      </c>
      <c r="E938" s="27">
        <v>49.53</v>
      </c>
      <c r="F938" s="28">
        <v>0</v>
      </c>
      <c r="G938" s="27">
        <v>198.12</v>
      </c>
      <c r="H938" s="27">
        <v>39.62</v>
      </c>
      <c r="I938" s="27">
        <v>237.74</v>
      </c>
      <c r="J938" s="29" cm="1">
        <f t="array" ref="J938">INDEX(Commandes!$B$2:$B$421,MATCH(B938,Commandes!$A$2:$A$421,0))</f>
        <v>45519</v>
      </c>
    </row>
    <row r="939" spans="1:10">
      <c r="A939" t="s">
        <v>1907</v>
      </c>
      <c r="B939" t="s">
        <v>953</v>
      </c>
      <c r="C939" t="s">
        <v>423</v>
      </c>
      <c r="D939">
        <v>1</v>
      </c>
      <c r="E939" s="27">
        <v>46.02</v>
      </c>
      <c r="F939" s="28">
        <v>0</v>
      </c>
      <c r="G939" s="27">
        <v>46.02</v>
      </c>
      <c r="H939" s="27">
        <v>9.2</v>
      </c>
      <c r="I939" s="27">
        <v>55.22</v>
      </c>
      <c r="J939" s="29" cm="1">
        <f t="array" ref="J939">INDEX(Commandes!$B$2:$B$421,MATCH(B939,Commandes!$A$2:$A$421,0))</f>
        <v>45519</v>
      </c>
    </row>
    <row r="940" spans="1:10">
      <c r="A940" t="s">
        <v>1908</v>
      </c>
      <c r="B940" t="s">
        <v>954</v>
      </c>
      <c r="C940" t="s">
        <v>431</v>
      </c>
      <c r="D940">
        <v>3</v>
      </c>
      <c r="E940" s="27">
        <v>47.74</v>
      </c>
      <c r="F940" s="28">
        <v>0.05</v>
      </c>
      <c r="G940" s="27">
        <v>136.06</v>
      </c>
      <c r="H940" s="27">
        <v>27.21</v>
      </c>
      <c r="I940" s="27">
        <v>163.27</v>
      </c>
      <c r="J940" s="29" cm="1">
        <f t="array" ref="J940">INDEX(Commandes!$B$2:$B$421,MATCH(B940,Commandes!$A$2:$A$421,0))</f>
        <v>45645</v>
      </c>
    </row>
    <row r="941" spans="1:10">
      <c r="A941" t="s">
        <v>1909</v>
      </c>
      <c r="B941" t="s">
        <v>954</v>
      </c>
      <c r="C941" t="s">
        <v>431</v>
      </c>
      <c r="D941">
        <v>1</v>
      </c>
      <c r="E941" s="27">
        <v>47.74</v>
      </c>
      <c r="F941" s="28">
        <v>0.15</v>
      </c>
      <c r="G941" s="27">
        <v>40.58</v>
      </c>
      <c r="H941" s="27">
        <v>8.12</v>
      </c>
      <c r="I941" s="27">
        <v>48.7</v>
      </c>
      <c r="J941" s="29" cm="1">
        <f t="array" ref="J941">INDEX(Commandes!$B$2:$B$421,MATCH(B941,Commandes!$A$2:$A$421,0))</f>
        <v>45645</v>
      </c>
    </row>
    <row r="942" spans="1:10">
      <c r="A942" t="s">
        <v>1910</v>
      </c>
      <c r="B942" t="s">
        <v>954</v>
      </c>
      <c r="C942" t="s">
        <v>429</v>
      </c>
      <c r="D942">
        <v>3</v>
      </c>
      <c r="E942" s="27">
        <v>32.75</v>
      </c>
      <c r="F942" s="28">
        <v>0.05</v>
      </c>
      <c r="G942" s="27">
        <v>93.34</v>
      </c>
      <c r="H942" s="27">
        <v>18.67</v>
      </c>
      <c r="I942" s="27">
        <v>112.01</v>
      </c>
      <c r="J942" s="29" cm="1">
        <f t="array" ref="J942">INDEX(Commandes!$B$2:$B$421,MATCH(B942,Commandes!$A$2:$A$421,0))</f>
        <v>45645</v>
      </c>
    </row>
    <row r="943" spans="1:10">
      <c r="A943" t="s">
        <v>1911</v>
      </c>
      <c r="B943" t="s">
        <v>955</v>
      </c>
      <c r="C943" t="s">
        <v>442</v>
      </c>
      <c r="D943">
        <v>10</v>
      </c>
      <c r="E943" s="27">
        <v>374.59</v>
      </c>
      <c r="F943" s="28">
        <v>0</v>
      </c>
      <c r="G943" s="27">
        <v>3745.9</v>
      </c>
      <c r="H943" s="27">
        <v>749.18</v>
      </c>
      <c r="I943" s="27">
        <v>4495.08</v>
      </c>
      <c r="J943" s="29" cm="1">
        <f t="array" ref="J943">INDEX(Commandes!$B$2:$B$421,MATCH(B943,Commandes!$A$2:$A$421,0))</f>
        <v>45434</v>
      </c>
    </row>
    <row r="944" spans="1:10">
      <c r="A944" t="s">
        <v>1912</v>
      </c>
      <c r="B944" t="s">
        <v>955</v>
      </c>
      <c r="C944" t="s">
        <v>450</v>
      </c>
      <c r="D944">
        <v>3</v>
      </c>
      <c r="E944" s="27">
        <v>538.29</v>
      </c>
      <c r="F944" s="28">
        <v>0</v>
      </c>
      <c r="G944" s="27">
        <v>1614.87</v>
      </c>
      <c r="H944" s="27">
        <v>322.97</v>
      </c>
      <c r="I944" s="27">
        <v>1937.84</v>
      </c>
      <c r="J944" s="29" cm="1">
        <f t="array" ref="J944">INDEX(Commandes!$B$2:$B$421,MATCH(B944,Commandes!$A$2:$A$421,0))</f>
        <v>45434</v>
      </c>
    </row>
    <row r="945" spans="1:10">
      <c r="A945" t="s">
        <v>1913</v>
      </c>
      <c r="B945" t="s">
        <v>955</v>
      </c>
      <c r="C945" t="s">
        <v>366</v>
      </c>
      <c r="D945">
        <v>1</v>
      </c>
      <c r="E945" s="27">
        <v>1103.64</v>
      </c>
      <c r="F945" s="28">
        <v>0</v>
      </c>
      <c r="G945" s="27">
        <v>1103.64</v>
      </c>
      <c r="H945" s="27">
        <v>220.73</v>
      </c>
      <c r="I945" s="27">
        <v>1324.37</v>
      </c>
      <c r="J945" s="29" cm="1">
        <f t="array" ref="J945">INDEX(Commandes!$B$2:$B$421,MATCH(B945,Commandes!$A$2:$A$421,0))</f>
        <v>45434</v>
      </c>
    </row>
    <row r="946" spans="1:10">
      <c r="A946" t="s">
        <v>1914</v>
      </c>
      <c r="B946" t="s">
        <v>955</v>
      </c>
      <c r="C946" t="s">
        <v>427</v>
      </c>
      <c r="D946">
        <v>1</v>
      </c>
      <c r="E946" s="27">
        <v>25.25</v>
      </c>
      <c r="F946" s="28">
        <v>0.05</v>
      </c>
      <c r="G946" s="27">
        <v>23.99</v>
      </c>
      <c r="H946" s="27">
        <v>4.8</v>
      </c>
      <c r="I946" s="27">
        <v>28.79</v>
      </c>
      <c r="J946" s="29" cm="1">
        <f t="array" ref="J946">INDEX(Commandes!$B$2:$B$421,MATCH(B946,Commandes!$A$2:$A$421,0))</f>
        <v>45434</v>
      </c>
    </row>
    <row r="947" spans="1:10">
      <c r="A947" t="s">
        <v>1915</v>
      </c>
      <c r="B947" t="s">
        <v>955</v>
      </c>
      <c r="C947" t="s">
        <v>467</v>
      </c>
      <c r="D947">
        <v>2</v>
      </c>
      <c r="E947" s="27">
        <v>49.53</v>
      </c>
      <c r="F947" s="28">
        <v>0</v>
      </c>
      <c r="G947" s="27">
        <v>99.06</v>
      </c>
      <c r="H947" s="27">
        <v>19.81</v>
      </c>
      <c r="I947" s="27">
        <v>118.87</v>
      </c>
      <c r="J947" s="29" cm="1">
        <f t="array" ref="J947">INDEX(Commandes!$B$2:$B$421,MATCH(B947,Commandes!$A$2:$A$421,0))</f>
        <v>45434</v>
      </c>
    </row>
    <row r="948" spans="1:10">
      <c r="A948" t="s">
        <v>1916</v>
      </c>
      <c r="B948" t="s">
        <v>956</v>
      </c>
      <c r="C948" t="s">
        <v>412</v>
      </c>
      <c r="D948">
        <v>2</v>
      </c>
      <c r="E948" s="27">
        <v>114.1</v>
      </c>
      <c r="F948" s="28">
        <v>0.15</v>
      </c>
      <c r="G948" s="27">
        <v>193.97</v>
      </c>
      <c r="H948" s="27">
        <v>38.79</v>
      </c>
      <c r="I948" s="27">
        <v>232.76</v>
      </c>
      <c r="J948" s="29" cm="1">
        <f t="array" ref="J948">INDEX(Commandes!$B$2:$B$421,MATCH(B948,Commandes!$A$2:$A$421,0))</f>
        <v>45496</v>
      </c>
    </row>
    <row r="949" spans="1:10">
      <c r="A949" t="s">
        <v>1917</v>
      </c>
      <c r="B949" t="s">
        <v>956</v>
      </c>
      <c r="C949" t="s">
        <v>433</v>
      </c>
      <c r="D949">
        <v>1</v>
      </c>
      <c r="E949" s="27">
        <v>58.14</v>
      </c>
      <c r="F949" s="28">
        <v>0</v>
      </c>
      <c r="G949" s="27">
        <v>58.14</v>
      </c>
      <c r="H949" s="27">
        <v>11.63</v>
      </c>
      <c r="I949" s="27">
        <v>69.77</v>
      </c>
      <c r="J949" s="29" cm="1">
        <f t="array" ref="J949">INDEX(Commandes!$B$2:$B$421,MATCH(B949,Commandes!$A$2:$A$421,0))</f>
        <v>45496</v>
      </c>
    </row>
    <row r="950" spans="1:10">
      <c r="A950" t="s">
        <v>1918</v>
      </c>
      <c r="B950" t="s">
        <v>956</v>
      </c>
      <c r="C950" t="s">
        <v>391</v>
      </c>
      <c r="D950">
        <v>1</v>
      </c>
      <c r="E950" s="27">
        <v>138.13</v>
      </c>
      <c r="F950" s="28">
        <v>0.15</v>
      </c>
      <c r="G950" s="27">
        <v>117.41</v>
      </c>
      <c r="H950" s="27">
        <v>23.48</v>
      </c>
      <c r="I950" s="27">
        <v>140.89</v>
      </c>
      <c r="J950" s="29" cm="1">
        <f t="array" ref="J950">INDEX(Commandes!$B$2:$B$421,MATCH(B950,Commandes!$A$2:$A$421,0))</f>
        <v>45496</v>
      </c>
    </row>
    <row r="951" spans="1:10">
      <c r="A951" t="s">
        <v>1919</v>
      </c>
      <c r="B951" t="s">
        <v>957</v>
      </c>
      <c r="C951" t="s">
        <v>473</v>
      </c>
      <c r="D951">
        <v>1</v>
      </c>
      <c r="E951" s="27">
        <v>40.73</v>
      </c>
      <c r="F951" s="28">
        <v>0</v>
      </c>
      <c r="G951" s="27">
        <v>40.73</v>
      </c>
      <c r="H951" s="27">
        <v>8.15</v>
      </c>
      <c r="I951" s="27">
        <v>48.88</v>
      </c>
      <c r="J951" s="29" cm="1">
        <f t="array" ref="J951">INDEX(Commandes!$B$2:$B$421,MATCH(B951,Commandes!$A$2:$A$421,0))</f>
        <v>45943</v>
      </c>
    </row>
    <row r="952" spans="1:10">
      <c r="A952" t="s">
        <v>1920</v>
      </c>
      <c r="B952" t="s">
        <v>958</v>
      </c>
      <c r="C952" t="s">
        <v>387</v>
      </c>
      <c r="D952">
        <v>1</v>
      </c>
      <c r="E952" s="27">
        <v>37.91</v>
      </c>
      <c r="F952" s="28">
        <v>0.15</v>
      </c>
      <c r="G952" s="27">
        <v>32.22</v>
      </c>
      <c r="H952" s="27">
        <v>6.44</v>
      </c>
      <c r="I952" s="27">
        <v>38.66</v>
      </c>
      <c r="J952" s="29" cm="1">
        <f t="array" ref="J952">INDEX(Commandes!$B$2:$B$421,MATCH(B952,Commandes!$A$2:$A$421,0))</f>
        <v>45905</v>
      </c>
    </row>
    <row r="953" spans="1:10">
      <c r="A953" t="s">
        <v>1921</v>
      </c>
      <c r="B953" t="s">
        <v>958</v>
      </c>
      <c r="C953" t="s">
        <v>448</v>
      </c>
      <c r="D953">
        <v>1</v>
      </c>
      <c r="E953" s="27">
        <v>543.43</v>
      </c>
      <c r="F953" s="28">
        <v>0</v>
      </c>
      <c r="G953" s="27">
        <v>543.43</v>
      </c>
      <c r="H953" s="27">
        <v>108.69</v>
      </c>
      <c r="I953" s="27">
        <v>652.12</v>
      </c>
      <c r="J953" s="29" cm="1">
        <f t="array" ref="J953">INDEX(Commandes!$B$2:$B$421,MATCH(B953,Commandes!$A$2:$A$421,0))</f>
        <v>45905</v>
      </c>
    </row>
    <row r="954" spans="1:10">
      <c r="A954" t="s">
        <v>1922</v>
      </c>
      <c r="B954" t="s">
        <v>958</v>
      </c>
      <c r="C954" t="s">
        <v>393</v>
      </c>
      <c r="D954">
        <v>2</v>
      </c>
      <c r="E954" s="27">
        <v>196.18</v>
      </c>
      <c r="F954" s="28">
        <v>0</v>
      </c>
      <c r="G954" s="27">
        <v>392.36</v>
      </c>
      <c r="H954" s="27">
        <v>78.47</v>
      </c>
      <c r="I954" s="27">
        <v>470.83</v>
      </c>
      <c r="J954" s="29" cm="1">
        <f t="array" ref="J954">INDEX(Commandes!$B$2:$B$421,MATCH(B954,Commandes!$A$2:$A$421,0))</f>
        <v>45905</v>
      </c>
    </row>
    <row r="955" spans="1:10">
      <c r="A955" t="s">
        <v>1923</v>
      </c>
      <c r="B955" t="s">
        <v>958</v>
      </c>
      <c r="C955" t="s">
        <v>414</v>
      </c>
      <c r="D955">
        <v>2</v>
      </c>
      <c r="E955" s="27">
        <v>63.96</v>
      </c>
      <c r="F955" s="28">
        <v>0.15</v>
      </c>
      <c r="G955" s="27">
        <v>108.73</v>
      </c>
      <c r="H955" s="27">
        <v>21.75</v>
      </c>
      <c r="I955" s="27">
        <v>130.48</v>
      </c>
      <c r="J955" s="29" cm="1">
        <f t="array" ref="J955">INDEX(Commandes!$B$2:$B$421,MATCH(B955,Commandes!$A$2:$A$421,0))</f>
        <v>45905</v>
      </c>
    </row>
    <row r="956" spans="1:10">
      <c r="A956" t="s">
        <v>1924</v>
      </c>
      <c r="B956" t="s">
        <v>958</v>
      </c>
      <c r="C956" t="s">
        <v>389</v>
      </c>
      <c r="D956">
        <v>1</v>
      </c>
      <c r="E956" s="27">
        <v>120.37</v>
      </c>
      <c r="F956" s="28">
        <v>0</v>
      </c>
      <c r="G956" s="27">
        <v>120.37</v>
      </c>
      <c r="H956" s="27">
        <v>24.07</v>
      </c>
      <c r="I956" s="27">
        <v>144.44</v>
      </c>
      <c r="J956" s="29" cm="1">
        <f t="array" ref="J956">INDEX(Commandes!$B$2:$B$421,MATCH(B956,Commandes!$A$2:$A$421,0))</f>
        <v>45905</v>
      </c>
    </row>
    <row r="957" spans="1:10">
      <c r="A957" t="s">
        <v>1925</v>
      </c>
      <c r="B957" t="s">
        <v>959</v>
      </c>
      <c r="C957" t="s">
        <v>475</v>
      </c>
      <c r="D957">
        <v>2</v>
      </c>
      <c r="E957" s="27">
        <v>42</v>
      </c>
      <c r="F957" s="28">
        <v>0</v>
      </c>
      <c r="G957" s="27">
        <v>84</v>
      </c>
      <c r="H957" s="27">
        <v>16.8</v>
      </c>
      <c r="I957" s="27">
        <v>100.8</v>
      </c>
      <c r="J957" s="29" cm="1">
        <f t="array" ref="J957">INDEX(Commandes!$B$2:$B$421,MATCH(B957,Commandes!$A$2:$A$421,0))</f>
        <v>45571</v>
      </c>
    </row>
    <row r="958" spans="1:10">
      <c r="A958" t="s">
        <v>1926</v>
      </c>
      <c r="B958" t="s">
        <v>959</v>
      </c>
      <c r="C958" t="s">
        <v>452</v>
      </c>
      <c r="D958">
        <v>3</v>
      </c>
      <c r="E958" s="27">
        <v>381.57</v>
      </c>
      <c r="F958" s="28">
        <v>0.1</v>
      </c>
      <c r="G958" s="27">
        <v>1030.24</v>
      </c>
      <c r="H958" s="27">
        <v>206.05</v>
      </c>
      <c r="I958" s="27">
        <v>1236.29</v>
      </c>
      <c r="J958" s="29" cm="1">
        <f t="array" ref="J958">INDEX(Commandes!$B$2:$B$421,MATCH(B958,Commandes!$A$2:$A$421,0))</f>
        <v>45571</v>
      </c>
    </row>
    <row r="959" spans="1:10">
      <c r="A959" t="s">
        <v>1927</v>
      </c>
      <c r="B959" t="s">
        <v>960</v>
      </c>
      <c r="C959" t="s">
        <v>419</v>
      </c>
      <c r="D959">
        <v>3</v>
      </c>
      <c r="E959" s="27">
        <v>100.34</v>
      </c>
      <c r="F959" s="28">
        <v>0</v>
      </c>
      <c r="G959" s="27">
        <v>301.02</v>
      </c>
      <c r="H959" s="27">
        <v>60.2</v>
      </c>
      <c r="I959" s="27">
        <v>361.22</v>
      </c>
      <c r="J959" s="29" cm="1">
        <f t="array" ref="J959">INDEX(Commandes!$B$2:$B$421,MATCH(B959,Commandes!$A$2:$A$421,0))</f>
        <v>45622</v>
      </c>
    </row>
    <row r="960" spans="1:10">
      <c r="A960" t="s">
        <v>1928</v>
      </c>
      <c r="B960" t="s">
        <v>960</v>
      </c>
      <c r="C960" t="s">
        <v>389</v>
      </c>
      <c r="D960">
        <v>2</v>
      </c>
      <c r="E960" s="27">
        <v>120.37</v>
      </c>
      <c r="F960" s="28">
        <v>0</v>
      </c>
      <c r="G960" s="27">
        <v>240.74</v>
      </c>
      <c r="H960" s="27">
        <v>48.15</v>
      </c>
      <c r="I960" s="27">
        <v>288.89</v>
      </c>
      <c r="J960" s="29" cm="1">
        <f t="array" ref="J960">INDEX(Commandes!$B$2:$B$421,MATCH(B960,Commandes!$A$2:$A$421,0))</f>
        <v>45622</v>
      </c>
    </row>
    <row r="961" spans="1:10">
      <c r="A961" t="s">
        <v>1929</v>
      </c>
      <c r="B961" t="s">
        <v>961</v>
      </c>
      <c r="C961" t="s">
        <v>446</v>
      </c>
      <c r="D961">
        <v>2</v>
      </c>
      <c r="E961" s="27">
        <v>454.43</v>
      </c>
      <c r="F961" s="28">
        <v>0.1</v>
      </c>
      <c r="G961" s="27">
        <v>817.97</v>
      </c>
      <c r="H961" s="27">
        <v>163.59</v>
      </c>
      <c r="I961" s="27">
        <v>981.56</v>
      </c>
      <c r="J961" s="29" cm="1">
        <f t="array" ref="J961">INDEX(Commandes!$B$2:$B$421,MATCH(B961,Commandes!$A$2:$A$421,0))</f>
        <v>45788</v>
      </c>
    </row>
    <row r="962" spans="1:10">
      <c r="A962" t="s">
        <v>1930</v>
      </c>
      <c r="B962" t="s">
        <v>961</v>
      </c>
      <c r="C962" t="s">
        <v>444</v>
      </c>
      <c r="D962">
        <v>3</v>
      </c>
      <c r="E962" s="27">
        <v>442.3</v>
      </c>
      <c r="F962" s="28">
        <v>0.15</v>
      </c>
      <c r="G962" s="27">
        <v>1127.87</v>
      </c>
      <c r="H962" s="27">
        <v>225.57</v>
      </c>
      <c r="I962" s="27">
        <v>1353.44</v>
      </c>
      <c r="J962" s="29" cm="1">
        <f t="array" ref="J962">INDEX(Commandes!$B$2:$B$421,MATCH(B962,Commandes!$A$2:$A$421,0))</f>
        <v>45788</v>
      </c>
    </row>
    <row r="963" spans="1:10">
      <c r="A963" t="s">
        <v>1931</v>
      </c>
      <c r="B963" t="s">
        <v>961</v>
      </c>
      <c r="C963" t="s">
        <v>473</v>
      </c>
      <c r="D963">
        <v>3</v>
      </c>
      <c r="E963" s="27">
        <v>40.73</v>
      </c>
      <c r="F963" s="28">
        <v>0.05</v>
      </c>
      <c r="G963" s="27">
        <v>116.08</v>
      </c>
      <c r="H963" s="27">
        <v>23.22</v>
      </c>
      <c r="I963" s="27">
        <v>139.3</v>
      </c>
      <c r="J963" s="29" cm="1">
        <f t="array" ref="J963">INDEX(Commandes!$B$2:$B$421,MATCH(B963,Commandes!$A$2:$A$421,0))</f>
        <v>45788</v>
      </c>
    </row>
    <row r="964" spans="1:10">
      <c r="A964" t="s">
        <v>1932</v>
      </c>
      <c r="B964" t="s">
        <v>962</v>
      </c>
      <c r="C964" t="s">
        <v>465</v>
      </c>
      <c r="D964">
        <v>1</v>
      </c>
      <c r="E964" s="27">
        <v>44.16</v>
      </c>
      <c r="F964" s="28">
        <v>0.05</v>
      </c>
      <c r="G964" s="27">
        <v>41.95</v>
      </c>
      <c r="H964" s="27">
        <v>8.39</v>
      </c>
      <c r="I964" s="27">
        <v>50.34</v>
      </c>
      <c r="J964" s="29" cm="1">
        <f t="array" ref="J964">INDEX(Commandes!$B$2:$B$421,MATCH(B964,Commandes!$A$2:$A$421,0))</f>
        <v>45763</v>
      </c>
    </row>
    <row r="965" spans="1:10">
      <c r="A965" t="s">
        <v>1933</v>
      </c>
      <c r="B965" t="s">
        <v>962</v>
      </c>
      <c r="C965" t="s">
        <v>452</v>
      </c>
      <c r="D965">
        <v>2</v>
      </c>
      <c r="E965" s="27">
        <v>381.57</v>
      </c>
      <c r="F965" s="28">
        <v>0</v>
      </c>
      <c r="G965" s="27">
        <v>763.14</v>
      </c>
      <c r="H965" s="27">
        <v>152.63</v>
      </c>
      <c r="I965" s="27">
        <v>915.77</v>
      </c>
      <c r="J965" s="29" cm="1">
        <f t="array" ref="J965">INDEX(Commandes!$B$2:$B$421,MATCH(B965,Commandes!$A$2:$A$421,0))</f>
        <v>45763</v>
      </c>
    </row>
    <row r="966" spans="1:10">
      <c r="A966" t="s">
        <v>1934</v>
      </c>
      <c r="B966" t="s">
        <v>963</v>
      </c>
      <c r="C966" t="s">
        <v>465</v>
      </c>
      <c r="D966">
        <v>1</v>
      </c>
      <c r="E966" s="27">
        <v>44.16</v>
      </c>
      <c r="F966" s="28">
        <v>0</v>
      </c>
      <c r="G966" s="27">
        <v>44.16</v>
      </c>
      <c r="H966" s="27">
        <v>8.83</v>
      </c>
      <c r="I966" s="27">
        <v>52.99</v>
      </c>
      <c r="J966" s="29" cm="1">
        <f t="array" ref="J966">INDEX(Commandes!$B$2:$B$421,MATCH(B966,Commandes!$A$2:$A$421,0))</f>
        <v>45468</v>
      </c>
    </row>
  </sheetData>
  <conditionalFormatting sqref="G2:G9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{36dcac8f-7c5a-403a-92d4-e90d51f749eb}</x14:id>
        </ext>
      </extLst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dcac8f-7c5a-403a-92d4-e90d51f749e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G2:G966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4"/>
  <sheetViews>
    <sheetView zoomScale="56" zoomScaleNormal="56" workbookViewId="0">
      <selection activeCell="AC31" sqref="AC31"/>
    </sheetView>
  </sheetViews>
  <sheetFormatPr defaultColWidth="8.66666666666667" defaultRowHeight="14"/>
  <cols>
    <col min="14" max="14" width="10.4083333333333" customWidth="1"/>
  </cols>
  <sheetData>
    <row r="1" ht="56" customHeight="1" spans="1:26">
      <c r="A1" s="1" t="s">
        <v>1982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8" customHeight="1" spans="1:26">
      <c r="A2" s="4"/>
      <c r="B2" s="5" t="s">
        <v>1983</v>
      </c>
      <c r="C2" s="6"/>
      <c r="D2" s="6"/>
      <c r="E2" s="6"/>
      <c r="F2" s="7"/>
      <c r="G2" s="7"/>
      <c r="H2" s="5" t="s">
        <v>1984</v>
      </c>
      <c r="I2" s="8"/>
      <c r="J2" s="8"/>
      <c r="K2" s="7"/>
      <c r="L2" s="7"/>
      <c r="M2" s="5" t="s">
        <v>1985</v>
      </c>
      <c r="N2" s="6"/>
      <c r="O2" s="6"/>
      <c r="P2" s="6"/>
      <c r="Q2" s="7"/>
      <c r="R2" s="5" t="s">
        <v>1986</v>
      </c>
      <c r="S2" s="6"/>
      <c r="T2" s="6"/>
      <c r="U2" s="6"/>
      <c r="V2" s="7"/>
      <c r="W2" s="5" t="s">
        <v>1987</v>
      </c>
      <c r="X2" s="6"/>
      <c r="Y2" s="6"/>
      <c r="Z2" s="9"/>
    </row>
    <row r="3" ht="17.5" spans="1:26">
      <c r="A3" s="4"/>
      <c r="B3" s="6"/>
      <c r="C3" s="6"/>
      <c r="D3" s="6"/>
      <c r="E3" s="6"/>
      <c r="F3" s="7"/>
      <c r="G3" s="7"/>
      <c r="H3" s="8"/>
      <c r="I3" s="8"/>
      <c r="J3" s="8"/>
      <c r="K3" s="7"/>
      <c r="L3" s="7"/>
      <c r="M3" s="6"/>
      <c r="N3" s="6"/>
      <c r="O3" s="6"/>
      <c r="P3" s="6"/>
      <c r="Q3" s="7"/>
      <c r="R3" s="6"/>
      <c r="S3" s="6"/>
      <c r="T3" s="6"/>
      <c r="U3" s="6"/>
      <c r="V3" s="7"/>
      <c r="W3" s="6"/>
      <c r="X3" s="6"/>
      <c r="Y3" s="6"/>
      <c r="Z3" s="9"/>
    </row>
    <row r="4" ht="17.5" spans="1:26">
      <c r="A4" s="4"/>
      <c r="B4" s="6"/>
      <c r="C4" s="6"/>
      <c r="D4" s="6"/>
      <c r="E4" s="6"/>
      <c r="F4" s="7"/>
      <c r="G4" s="7"/>
      <c r="H4" s="8"/>
      <c r="I4" s="8"/>
      <c r="J4" s="8"/>
      <c r="K4" s="7"/>
      <c r="L4" s="7"/>
      <c r="M4" s="6"/>
      <c r="N4" s="6"/>
      <c r="O4" s="6"/>
      <c r="P4" s="6"/>
      <c r="Q4" s="7"/>
      <c r="R4" s="6"/>
      <c r="S4" s="6"/>
      <c r="T4" s="6"/>
      <c r="U4" s="6"/>
      <c r="V4" s="7"/>
      <c r="W4" s="6"/>
      <c r="X4" s="6"/>
      <c r="Y4" s="6"/>
      <c r="Z4" s="9"/>
    </row>
    <row r="5" ht="17.5" spans="1:26">
      <c r="A5" s="4"/>
      <c r="B5" s="6"/>
      <c r="C5" s="6"/>
      <c r="D5" s="6"/>
      <c r="E5" s="6"/>
      <c r="F5" s="7"/>
      <c r="G5" s="7"/>
      <c r="H5" s="8"/>
      <c r="I5" s="8"/>
      <c r="J5" s="8"/>
      <c r="K5" s="7"/>
      <c r="L5" s="7"/>
      <c r="M5" s="6"/>
      <c r="N5" s="6"/>
      <c r="O5" s="6"/>
      <c r="P5" s="6"/>
      <c r="Q5" s="7"/>
      <c r="R5" s="6"/>
      <c r="S5" s="6"/>
      <c r="T5" s="6"/>
      <c r="U5" s="6"/>
      <c r="V5" s="7"/>
      <c r="W5" s="6"/>
      <c r="X5" s="6"/>
      <c r="Y5" s="6"/>
      <c r="Z5" s="9"/>
    </row>
    <row r="6" ht="17.5" spans="1:26">
      <c r="A6" s="4"/>
      <c r="B6" s="6"/>
      <c r="C6" s="6"/>
      <c r="D6" s="6"/>
      <c r="E6" s="6"/>
      <c r="F6" s="7"/>
      <c r="G6" s="7"/>
      <c r="H6" s="8"/>
      <c r="I6" s="8"/>
      <c r="J6" s="8"/>
      <c r="K6" s="7"/>
      <c r="L6" s="7"/>
      <c r="M6" s="6"/>
      <c r="N6" s="6"/>
      <c r="O6" s="6"/>
      <c r="P6" s="6"/>
      <c r="Q6" s="7"/>
      <c r="R6" s="6"/>
      <c r="S6" s="6"/>
      <c r="T6" s="6"/>
      <c r="U6" s="6"/>
      <c r="V6" s="7"/>
      <c r="W6" s="6"/>
      <c r="X6" s="6"/>
      <c r="Y6" s="6"/>
      <c r="Z6" s="9"/>
    </row>
    <row r="7" spans="1:26">
      <c r="A7" s="10"/>
      <c r="Z7" s="11"/>
    </row>
    <row r="8" spans="1:26">
      <c r="A8" s="10"/>
      <c r="Z8" s="11"/>
    </row>
    <row r="9" spans="1:26">
      <c r="A9" s="10"/>
      <c r="Z9" s="11"/>
    </row>
    <row r="10" spans="1:26">
      <c r="A10" s="10"/>
      <c r="Z10" s="11"/>
    </row>
    <row r="11" spans="1:26">
      <c r="A11" s="10"/>
      <c r="Z11" s="11"/>
    </row>
    <row r="12" spans="1:26">
      <c r="A12" s="10"/>
      <c r="Z12" s="11"/>
    </row>
    <row r="13" spans="1:26">
      <c r="A13" s="10"/>
      <c r="Z13" s="11"/>
    </row>
    <row r="14" spans="1:26">
      <c r="A14" s="10"/>
      <c r="Z14" s="11"/>
    </row>
    <row r="15" spans="1:26">
      <c r="A15" s="10"/>
      <c r="Z15" s="11"/>
    </row>
    <row r="16" spans="1:26">
      <c r="A16" s="10"/>
      <c r="Z16" s="11"/>
    </row>
    <row r="17" spans="1:26">
      <c r="A17" s="10"/>
      <c r="Z17" s="11"/>
    </row>
    <row r="18" spans="1:26">
      <c r="A18" s="10"/>
      <c r="Z18" s="11"/>
    </row>
    <row r="19" spans="1:26">
      <c r="A19" s="10"/>
      <c r="Z19" s="11"/>
    </row>
    <row r="20" spans="1:26">
      <c r="A20" s="10"/>
      <c r="Z20" s="11"/>
    </row>
    <row r="21" spans="1:26">
      <c r="A21" s="10"/>
      <c r="Z21" s="11"/>
    </row>
    <row r="22" spans="1:26">
      <c r="A22" s="10"/>
      <c r="Z22" s="11"/>
    </row>
    <row r="23" spans="1:26">
      <c r="A23" s="10"/>
      <c r="Z23" s="11"/>
    </row>
    <row r="24" spans="1:26">
      <c r="A24" s="10"/>
      <c r="Z24" s="11"/>
    </row>
    <row r="25" spans="1:26">
      <c r="A25" s="10"/>
      <c r="Z25" s="11"/>
    </row>
    <row r="26" spans="1:26">
      <c r="A26" s="10"/>
      <c r="Z26" s="11"/>
    </row>
    <row r="27" spans="1:26">
      <c r="A27" s="10"/>
      <c r="Z27" s="11"/>
    </row>
    <row r="28" spans="1:26">
      <c r="A28" s="10"/>
      <c r="Z28" s="11"/>
    </row>
    <row r="29" spans="1:26">
      <c r="A29" s="10"/>
      <c r="Z29" s="11"/>
    </row>
    <row r="30" spans="1:26">
      <c r="A30" s="10"/>
      <c r="Z30" s="11"/>
    </row>
    <row r="31" spans="1:26">
      <c r="A31" s="10"/>
      <c r="Z31" s="11"/>
    </row>
    <row r="32" spans="1:26">
      <c r="A32" s="10"/>
      <c r="Z32" s="11"/>
    </row>
    <row r="33" spans="1:26">
      <c r="A33" s="10"/>
      <c r="Z33" s="11"/>
    </row>
    <row r="34" spans="1:26">
      <c r="A34" s="10"/>
      <c r="Z34" s="11"/>
    </row>
    <row r="35" spans="1:26">
      <c r="A35" s="10"/>
      <c r="Z35" s="11"/>
    </row>
    <row r="36" ht="14.75" spans="1:26">
      <c r="A36" s="10"/>
      <c r="Z36" s="11"/>
    </row>
    <row r="37" ht="36" customHeight="1" spans="1:26">
      <c r="A37" s="10"/>
      <c r="H37" s="12" t="s">
        <v>1988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/>
      <c r="Z37" s="11"/>
    </row>
    <row r="38" ht="25" customHeight="1" spans="1:26">
      <c r="A38" s="10"/>
      <c r="H38" s="15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Z38" s="11"/>
    </row>
    <row r="39" spans="1:26">
      <c r="A39" s="10"/>
      <c r="H39" s="1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Z39" s="11"/>
    </row>
    <row r="40" spans="1:26">
      <c r="A40" s="10"/>
      <c r="H40" s="1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Z40" s="11"/>
    </row>
    <row r="41" spans="1:26">
      <c r="A41" s="10"/>
      <c r="H41" s="1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Z41" s="11"/>
    </row>
    <row r="42" spans="1:26">
      <c r="A42" s="10"/>
      <c r="H42" s="1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Z42" s="11"/>
    </row>
    <row r="43" ht="11" customHeight="1" spans="1:26">
      <c r="A43" s="10"/>
      <c r="H43" s="18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0"/>
      <c r="Z43" s="11"/>
    </row>
    <row r="44" ht="14.75" spans="1:26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3"/>
    </row>
  </sheetData>
  <mergeCells count="7">
    <mergeCell ref="A1:Z1"/>
    <mergeCell ref="H37:S43"/>
    <mergeCell ref="H2:J6"/>
    <mergeCell ref="W2:Y6"/>
    <mergeCell ref="M2:P6"/>
    <mergeCell ref="B2:E6"/>
    <mergeCell ref="R2:U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README_Projet</vt:lpstr>
      <vt:lpstr>Clients</vt:lpstr>
      <vt:lpstr>Produits</vt:lpstr>
      <vt:lpstr>Employes</vt:lpstr>
      <vt:lpstr>Feuille13</vt:lpstr>
      <vt:lpstr>Commandes</vt:lpstr>
      <vt:lpstr>Lignes_Commandes</vt:lpstr>
      <vt:lpstr>Dictionnaire</vt:lpstr>
      <vt:lpstr>Dashboard_Base</vt:lpstr>
      <vt:lpstr>KPI_Analyse</vt:lpstr>
      <vt:lpstr>Analyse_Ventes</vt:lpstr>
      <vt:lpstr>Dashboard_Final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</cp:lastModifiedBy>
  <dcterms:created xsi:type="dcterms:W3CDTF">2026-05-19T08:45:00Z</dcterms:created>
  <dcterms:modified xsi:type="dcterms:W3CDTF">2026-05-21T19:54:05Z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1036-12.1.0.26372</vt:lpwstr>
  </property>
  <property fmtid="{D5CDD505-2E9C-101B-9397-08002B2CF9AE}" pid="3" name="CalculationRule">
    <vt:i4>0</vt:i4>
  </property>
  <property fmtid="{D5CDD505-2E9C-101B-9397-08002B2CF9AE}" pid="4" name="ICV">
    <vt:lpwstr>90350BF7F8FE4AD5AC2A3559C366E277_12</vt:lpwstr>
  </property>
</Properties>
</file>